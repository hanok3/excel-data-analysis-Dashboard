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7E01B291-745A-474A-941E-7FA5561E49ED}" xr6:coauthVersionLast="47" xr6:coauthVersionMax="47" xr10:uidLastSave="{00000000-0000-0000-0000-000000000000}"/>
  <bookViews>
    <workbookView xWindow="-108" yWindow="-108" windowWidth="23256" windowHeight="12576" activeTab="1" xr2:uid="{80B590A0-26F3-4C00-B82F-AB5BC9851E2A}"/>
  </bookViews>
  <sheets>
    <sheet name="Master Data" sheetId="1" r:id="rId1"/>
    <sheet name="DashBoard" sheetId="2" r:id="rId2"/>
    <sheet name="products" sheetId="6" r:id="rId3"/>
    <sheet name="Salesmans" sheetId="7" r:id="rId4"/>
    <sheet name="About" sheetId="8" r:id="rId5"/>
    <sheet name="Pivot Tables" sheetId="3" r:id="rId6"/>
  </sheets>
  <definedNames>
    <definedName name="NativeTimeline_Date">#N/A</definedName>
    <definedName name="Slicer_Place">#N/A</definedName>
    <definedName name="Slicer_Products">#N/A</definedName>
  </definedNames>
  <calcPr calcId="191029"/>
  <pivotCaches>
    <pivotCache cacheId="6"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8" i="3" l="1"/>
  <c r="D62" i="3"/>
  <c r="G5"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4" i="1"/>
  <c r="G3" i="1"/>
  <c r="G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<sst xmlns="http://schemas.openxmlformats.org/spreadsheetml/2006/main" count="934" uniqueCount="45">
  <si>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</si>
  <si>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</si>
  <si>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</si>
  <si>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</si>
  <si>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</si>
  <si>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</si>
  <si>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</si>
  <si>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</si>
  <si>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</si>
  <si>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</si>
  <si>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</si>
  <si>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</si>
  <si>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</si>
  <si>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</si>
  <si>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</si>
  <si>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</si>
  <si>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</si>
  <si>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</si>
  <si>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</si>
  <si>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</si>
  <si>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</si>
  <si>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</si>
  <si>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</si>
  <si>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</si>
  <si>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</si>
  <si>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</si>
  <si>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</si>
  <si>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</si>
  <si>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Jan</t>
  </si>
  <si>
    <t>Feb</t>
  </si>
  <si>
    <t>Mar</t>
  </si>
  <si>
    <t>Apr</t>
  </si>
  <si>
    <t>May</t>
  </si>
  <si>
    <t>Jun</t>
  </si>
  <si>
    <t>Jul</t>
  </si>
  <si>
    <t>Aug</t>
  </si>
  <si>
    <t>Sep</t>
  </si>
  <si>
    <t>Oct</t>
  </si>
  <si>
    <t>Nov</t>
  </si>
  <si>
    <t>Dec</t>
  </si>
  <si>
    <t>Count of Amount</t>
  </si>
  <si>
    <t>Sum of Units</t>
  </si>
  <si>
    <t xml:space="preserve"> </t>
  </si>
  <si>
    <t>products!A1</t>
  </si>
  <si>
    <t>Salesmans!A1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</si>
</sst>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_ * #,##0_ ;_ * \-#,##0_ ;_ * &quot;-&quot;??_ ;_ @_ "/>
  </numFmts>
  <fonts count="4" x14ac:knownFonts="1">
    <font>
      <sz val="11"/>
      <color theme="1"/>
      <name val="Aptos Narrow"/>
      <family val="2"/>
      <scheme val="minor"/>
    </font>
    <font>
      <b/>
      <sz val="14"/>
      <color rgb="FFFF0000"/>
      <name val="Aptos Narrow"/>
      <family val="2"/>
      <scheme val="minor"/>
    </font>
    <font>
      <b/>
      <sz val="12"/>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0" fontId="0" fillId="0" borderId="0" xfId="0" applyNumberFormat="1"/>
    <xf numFmtId="0" fontId="3" fillId="0" borderId="0" xfId="1"/>
  </cellXfs>
  <cellStyles count="2">
    <cellStyle name="Hyperlink" xfId="1" builtinId="8"/>
    <cellStyle name="Normal" xfId="0" builtinId="0"/>
  </cellStyles>
  <dxfs count="31">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4" formatCode="0.0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4" formatCode="0.00%"/>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4" formatCode="0.00%"/>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11/relationships/timelineCache" Target="timelineCaches/timelineCache1.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80927384077"/>
          <c:y val="3.1437144639258147E-2"/>
          <c:w val="0.8269746281714786"/>
          <c:h val="0.8047196954128043"/>
        </c:manualLayout>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7E76-4E92-8E25-AE6A4C48D573}"/>
            </c:ext>
          </c:extLst>
        </c:ser>
        <c:dLbls>
          <c:showLegendKey val="0"/>
          <c:showVal val="0"/>
          <c:showCatName val="0"/>
          <c:showSerName val="0"/>
          <c:showPercent val="0"/>
          <c:showBubbleSize val="0"/>
        </c:dLbls>
        <c:smooth val="0"/>
        <c:axId val="1235374720"/>
        <c:axId val="1235380000"/>
      </c:lineChart>
      <c:catAx>
        <c:axId val="123537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0000"/>
        <c:crosses val="autoZero"/>
        <c:auto val="1"/>
        <c:lblAlgn val="ctr"/>
        <c:lblOffset val="100"/>
        <c:noMultiLvlLbl val="0"/>
      </c:catAx>
      <c:valAx>
        <c:axId val="123538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7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07777301065187E-3"/>
          <c:y val="0"/>
          <c:w val="0.98226311356882934"/>
          <c:h val="0.86337681368523744"/>
        </c:manualLayout>
      </c:layout>
      <c:barChart>
        <c:barDir val="col"/>
        <c:grouping val="clustered"/>
        <c:varyColors val="0"/>
        <c:ser>
          <c:idx val="0"/>
          <c:order val="0"/>
          <c:tx>
            <c:strRef>
              <c:f>'Pivot Tables'!$C$26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Tables'!$B$27:$B$33</c:f>
              <c:strCache>
                <c:ptCount val="6"/>
                <c:pt idx="0">
                  <c:v>Bapatla</c:v>
                </c:pt>
                <c:pt idx="1">
                  <c:v>Chirala</c:v>
                </c:pt>
                <c:pt idx="2">
                  <c:v>Guntur</c:v>
                </c:pt>
                <c:pt idx="3">
                  <c:v>Ongole</c:v>
                </c:pt>
                <c:pt idx="4">
                  <c:v>Tenali</c:v>
                </c:pt>
                <c:pt idx="5">
                  <c:v>Vijayawada</c:v>
                </c:pt>
              </c:strCache>
            </c:strRef>
          </c:cat>
          <c:val>
            <c:numRef>
              <c:f>'Pivot Tables'!$C$27:$C$33</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9361-4CC2-AD55-DBBC74C7CDEE}"/>
            </c:ext>
          </c:extLst>
        </c:ser>
        <c:dLbls>
          <c:showLegendKey val="0"/>
          <c:showVal val="0"/>
          <c:showCatName val="0"/>
          <c:showSerName val="0"/>
          <c:showPercent val="0"/>
          <c:showBubbleSize val="0"/>
        </c:dLbls>
        <c:gapWidth val="219"/>
        <c:overlap val="-27"/>
        <c:axId val="1238198912"/>
        <c:axId val="1238203712"/>
      </c:barChart>
      <c:catAx>
        <c:axId val="12381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03712"/>
        <c:crosses val="autoZero"/>
        <c:auto val="1"/>
        <c:lblAlgn val="ctr"/>
        <c:lblOffset val="100"/>
        <c:noMultiLvlLbl val="0"/>
      </c:catAx>
      <c:valAx>
        <c:axId val="1238203712"/>
        <c:scaling>
          <c:orientation val="minMax"/>
        </c:scaling>
        <c:delete val="1"/>
        <c:axPos val="l"/>
        <c:numFmt formatCode="_ * #,##0_ ;_ * \-#,##0_ ;_ * &quot;-&quot;??_ ;_ @_ " sourceLinked="1"/>
        <c:majorTickMark val="none"/>
        <c:minorTickMark val="none"/>
        <c:tickLblPos val="nextTo"/>
        <c:crossAx val="123819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5075520211316"/>
          <c:y val="9.9006694795522085E-2"/>
          <c:w val="0.86374924479788684"/>
          <c:h val="0.83245020880757803"/>
        </c:manualLayout>
      </c:layout>
      <c:barChart>
        <c:barDir val="bar"/>
        <c:grouping val="clustered"/>
        <c:varyColors val="0"/>
        <c:ser>
          <c:idx val="0"/>
          <c:order val="0"/>
          <c:tx>
            <c:strRef>
              <c:f>'Pivot Tables'!$D$47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Tables'!$C$48:$C$54</c:f>
              <c:strCache>
                <c:ptCount val="6"/>
                <c:pt idx="0">
                  <c:v>4K LED TV's</c:v>
                </c:pt>
                <c:pt idx="1">
                  <c:v>Furniture</c:v>
                </c:pt>
                <c:pt idx="2">
                  <c:v>Laptops</c:v>
                </c:pt>
                <c:pt idx="3">
                  <c:v>LED TV's</c:v>
                </c:pt>
                <c:pt idx="4">
                  <c:v>Mobiles</c:v>
                </c:pt>
                <c:pt idx="5">
                  <c:v>Speakers</c:v>
                </c:pt>
              </c:strCache>
            </c:strRef>
          </c:cat>
          <c:val>
            <c:numRef>
              <c:f>'Pivot Tables'!$D$48:$D$54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A78E-48DF-A6C7-4E3BC3C5CC43}"/>
            </c:ext>
          </c:extLst>
        </c:ser>
        <c:dLbls>
          <c:showLegendKey val="0"/>
          <c:showVal val="0"/>
          <c:showCatName val="0"/>
          <c:showSerName val="0"/>
          <c:showPercent val="0"/>
          <c:showBubbleSize val="0"/>
        </c:dLbls>
        <c:gapWidth val="182"/>
        <c:axId val="1246194736"/>
        <c:axId val="1246190416"/>
      </c:barChart>
      <c:catAx>
        <c:axId val="124619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90416"/>
        <c:crosses val="autoZero"/>
        <c:auto val="1"/>
        <c:lblAlgn val="ctr"/>
        <c:lblOffset val="100"/>
        <c:noMultiLvlLbl val="0"/>
      </c:catAx>
      <c:valAx>
        <c:axId val="1246190416"/>
        <c:scaling>
          <c:orientation val="minMax"/>
        </c:scaling>
        <c:delete val="1"/>
        <c:axPos val="b"/>
        <c:numFmt formatCode="0.00%" sourceLinked="1"/>
        <c:majorTickMark val="none"/>
        <c:minorTickMark val="none"/>
        <c:tickLblPos val="nextTo"/>
        <c:crossAx val="124619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Tables!PivotTable6</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955818022747"/>
          <c:y val="7.0229039293009235E-2"/>
          <c:w val="0.81334886264216977"/>
          <c:h val="0.83320603167910301"/>
        </c:manualLayout>
      </c:layout>
      <c:barChart>
        <c:barDir val="bar"/>
        <c:grouping val="clustered"/>
        <c:varyColors val="0"/>
        <c:ser>
          <c:idx val="0"/>
          <c:order val="0"/>
          <c:tx>
            <c:strRef>
              <c:f>'Pivot Tables'!$E$77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Tables'!$D$78:$D$81</c:f>
              <c:strCache>
                <c:ptCount val="3"/>
                <c:pt idx="0">
                  <c:v>Speakers</c:v>
                </c:pt>
                <c:pt idx="1">
                  <c:v>4K LED TV's</c:v>
                </c:pt>
                <c:pt idx="2">
                  <c:v>Laptops</c:v>
                </c:pt>
              </c:strCache>
            </c:strRef>
          </c:cat>
          <c:val>
            <c:numRef>
              <c:f>'Pivot Tables'!$E$78:$E$81</c:f>
              <c:numCache>
                <c:formatCode>_ * #,##0_ ;_ * \-#,##0_ ;_ * "-"??_ ;_ @_ </c:formatCode>
                <c:ptCount val="3"/>
                <c:pt idx="0">
                  <c:v>1457</c:v>
                </c:pt>
                <c:pt idx="1">
                  <c:v>1503</c:v>
                </c:pt>
                <c:pt idx="2">
                  <c:v>1615</c:v>
                </c:pt>
              </c:numCache>
            </c:numRef>
          </c:val>
          <c:extLst>
            <c:ext xmlns:c16="http://schemas.microsoft.com/office/drawing/2014/chart" uri="{C3380CC4-5D6E-409C-BE32-E72D297353CC}">
              <c16:uniqueId val="{00000000-4BB4-4152-80CC-494ECC6579D5}"/>
            </c:ext>
          </c:extLst>
        </c:ser>
        <c:dLbls>
          <c:showLegendKey val="0"/>
          <c:showVal val="0"/>
          <c:showCatName val="0"/>
          <c:showSerName val="0"/>
          <c:showPercent val="0"/>
          <c:showBubbleSize val="0"/>
        </c:dLbls>
        <c:gapWidth val="182"/>
        <c:axId val="1463662528"/>
        <c:axId val="1463663008"/>
      </c:barChart>
      <c:catAx>
        <c:axId val="1463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63008"/>
        <c:crosses val="autoZero"/>
        <c:auto val="1"/>
        <c:lblAlgn val="ctr"/>
        <c:lblOffset val="100"/>
        <c:noMultiLvlLbl val="0"/>
      </c:catAx>
      <c:valAx>
        <c:axId val="1463663008"/>
        <c:scaling>
          <c:orientation val="minMax"/>
        </c:scaling>
        <c:delete val="1"/>
        <c:axPos val="b"/>
        <c:numFmt formatCode="_ * #,##0_ ;_ * \-#,##0_ ;_ * &quot;-&quot;??_ ;_ @_ " sourceLinked="1"/>
        <c:majorTickMark val="none"/>
        <c:minorTickMark val="none"/>
        <c:tickLblPos val="nextTo"/>
        <c:crossAx val="146366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Tables'!$D$84:$D$87</c:f>
              <c:strCache>
                <c:ptCount val="3"/>
                <c:pt idx="0">
                  <c:v>Furniture</c:v>
                </c:pt>
                <c:pt idx="1">
                  <c:v>Mobiles</c:v>
                </c:pt>
                <c:pt idx="2">
                  <c:v>LED TV's</c:v>
                </c:pt>
              </c:strCache>
            </c:strRef>
          </c:cat>
          <c:val>
            <c:numRef>
              <c:f>'Pivot Tables'!$E$84:$E$87</c:f>
              <c:numCache>
                <c:formatCode>_ * #,##0_ ;_ * \-#,##0_ ;_ * "-"??_ ;_ @_ </c:formatCode>
                <c:ptCount val="3"/>
                <c:pt idx="0">
                  <c:v>1233</c:v>
                </c:pt>
                <c:pt idx="1">
                  <c:v>1168</c:v>
                </c:pt>
                <c:pt idx="2">
                  <c:v>694</c:v>
                </c:pt>
              </c:numCache>
            </c:numRef>
          </c:val>
          <c:extLst>
            <c:ext xmlns:c16="http://schemas.microsoft.com/office/drawing/2014/chart" uri="{C3380CC4-5D6E-409C-BE32-E72D297353CC}">
              <c16:uniqueId val="{00000000-D245-4779-A3A6-E8110FF0EF06}"/>
            </c:ext>
          </c:extLst>
        </c:ser>
        <c:dLbls>
          <c:showLegendKey val="0"/>
          <c:showVal val="0"/>
          <c:showCatName val="0"/>
          <c:showSerName val="0"/>
          <c:showPercent val="0"/>
          <c:showBubbleSize val="0"/>
        </c:dLbls>
        <c:gapWidth val="182"/>
        <c:axId val="1393979200"/>
        <c:axId val="1393977760"/>
      </c:barChart>
      <c:catAx>
        <c:axId val="13939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77760"/>
        <c:crosses val="autoZero"/>
        <c:auto val="1"/>
        <c:lblAlgn val="ctr"/>
        <c:lblOffset val="100"/>
        <c:noMultiLvlLbl val="0"/>
      </c:catAx>
      <c:valAx>
        <c:axId val="1393977760"/>
        <c:scaling>
          <c:orientation val="minMax"/>
        </c:scaling>
        <c:delete val="1"/>
        <c:axPos val="b"/>
        <c:numFmt formatCode="_ * #,##0_ ;_ * \-#,##0_ ;_ * &quot;-&quot;??_ ;_ @_ " sourceLinked="1"/>
        <c:majorTickMark val="none"/>
        <c:minorTickMark val="none"/>
        <c:tickLblPos val="nextTo"/>
        <c:crossAx val="139397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Tables'!$B$98:$B$104</c:f>
              <c:strCache>
                <c:ptCount val="6"/>
                <c:pt idx="0">
                  <c:v>4K LED TV's</c:v>
                </c:pt>
                <c:pt idx="1">
                  <c:v>Furniture</c:v>
                </c:pt>
                <c:pt idx="2">
                  <c:v>Laptops</c:v>
                </c:pt>
                <c:pt idx="3">
                  <c:v>LED TV's</c:v>
                </c:pt>
                <c:pt idx="4">
                  <c:v>Mobiles</c:v>
                </c:pt>
                <c:pt idx="5">
                  <c:v>Speakers</c:v>
                </c:pt>
              </c:strCache>
            </c:strRef>
          </c:cat>
          <c:val>
            <c:numRef>
              <c:f>'Pivot Tables'!$C$98:$C$104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74F8-4CB1-9C3E-9BD5DBE734E2}"/>
            </c:ext>
          </c:extLst>
        </c:ser>
        <c:dLbls>
          <c:showLegendKey val="0"/>
          <c:showVal val="0"/>
          <c:showCatName val="0"/>
          <c:showSerName val="0"/>
          <c:showPercent val="0"/>
          <c:showBubbleSize val="0"/>
        </c:dLbls>
        <c:gapWidth val="219"/>
        <c:overlap val="-27"/>
        <c:axId val="1463657248"/>
        <c:axId val="1463652448"/>
      </c:barChart>
      <c:catAx>
        <c:axId val="14636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52448"/>
        <c:crosses val="autoZero"/>
        <c:auto val="1"/>
        <c:lblAlgn val="ctr"/>
        <c:lblOffset val="100"/>
        <c:noMultiLvlLbl val="0"/>
      </c:catAx>
      <c:valAx>
        <c:axId val="1463652448"/>
        <c:scaling>
          <c:orientation val="minMax"/>
        </c:scaling>
        <c:delete val="1"/>
        <c:axPos val="l"/>
        <c:numFmt formatCode="General" sourceLinked="1"/>
        <c:majorTickMark val="none"/>
        <c:minorTickMark val="none"/>
        <c:tickLblPos val="nextTo"/>
        <c:crossAx val="146365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Tables'!$C$118:$C$121</c:f>
              <c:strCache>
                <c:ptCount val="3"/>
                <c:pt idx="0">
                  <c:v>Mahesh</c:v>
                </c:pt>
                <c:pt idx="1">
                  <c:v>Prathap</c:v>
                </c:pt>
                <c:pt idx="2">
                  <c:v>Ramesh</c:v>
                </c:pt>
              </c:strCache>
            </c:strRef>
          </c:cat>
          <c:val>
            <c:numRef>
              <c:f>'Pivot Tables'!$D$118:$D$121</c:f>
              <c:numCache>
                <c:formatCode>_ * #,##0_ ;_ * \-#,##0_ ;_ * "-"??_ ;_ @_ </c:formatCode>
                <c:ptCount val="3"/>
                <c:pt idx="0">
                  <c:v>810</c:v>
                </c:pt>
                <c:pt idx="1">
                  <c:v>1285</c:v>
                </c:pt>
                <c:pt idx="2">
                  <c:v>947</c:v>
                </c:pt>
              </c:numCache>
            </c:numRef>
          </c:val>
          <c:extLst>
            <c:ext xmlns:c16="http://schemas.microsoft.com/office/drawing/2014/chart" uri="{C3380CC4-5D6E-409C-BE32-E72D297353CC}">
              <c16:uniqueId val="{00000000-9097-432A-A359-E4BBC1E0D69E}"/>
            </c:ext>
          </c:extLst>
        </c:ser>
        <c:dLbls>
          <c:showLegendKey val="0"/>
          <c:showVal val="0"/>
          <c:showCatName val="0"/>
          <c:showSerName val="0"/>
          <c:showPercent val="0"/>
          <c:showBubbleSize val="0"/>
        </c:dLbls>
        <c:gapWidth val="182"/>
        <c:axId val="1087074224"/>
        <c:axId val="1388378688"/>
      </c:barChart>
      <c:catAx>
        <c:axId val="108707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78688"/>
        <c:crosses val="autoZero"/>
        <c:auto val="1"/>
        <c:lblAlgn val="ctr"/>
        <c:lblOffset val="100"/>
        <c:noMultiLvlLbl val="0"/>
      </c:catAx>
      <c:valAx>
        <c:axId val="1388378688"/>
        <c:scaling>
          <c:orientation val="minMax"/>
        </c:scaling>
        <c:delete val="1"/>
        <c:axPos val="b"/>
        <c:numFmt formatCode="_ * #,##0_ ;_ * \-#,##0_ ;_ * &quot;-&quot;??_ ;_ @_ " sourceLinked="1"/>
        <c:majorTickMark val="none"/>
        <c:minorTickMark val="none"/>
        <c:tickLblPos val="nextTo"/>
        <c:crossAx val="108707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Tables!PivotTable11</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Tables'!$C$132:$C$135</c:f>
              <c:strCache>
                <c:ptCount val="3"/>
                <c:pt idx="0">
                  <c:v>Mahesh</c:v>
                </c:pt>
                <c:pt idx="1">
                  <c:v>Prathap</c:v>
                </c:pt>
                <c:pt idx="2">
                  <c:v>Ramesh</c:v>
                </c:pt>
              </c:strCache>
            </c:strRef>
          </c:cat>
          <c:val>
            <c:numRef>
              <c:f>'Pivot Tables'!$D$132:$D$135</c:f>
              <c:numCache>
                <c:formatCode>_ * #,##0_ ;_ * \-#,##0_ ;_ * "-"??_ ;_ @_ </c:formatCode>
                <c:ptCount val="3"/>
                <c:pt idx="0">
                  <c:v>810</c:v>
                </c:pt>
                <c:pt idx="1">
                  <c:v>1285</c:v>
                </c:pt>
                <c:pt idx="2">
                  <c:v>947</c:v>
                </c:pt>
              </c:numCache>
            </c:numRef>
          </c:val>
          <c:extLst>
            <c:ext xmlns:c16="http://schemas.microsoft.com/office/drawing/2014/chart" uri="{C3380CC4-5D6E-409C-BE32-E72D297353CC}">
              <c16:uniqueId val="{00000000-700C-47F2-8A9E-89DC01BA9A1F}"/>
            </c:ext>
          </c:extLst>
        </c:ser>
        <c:dLbls>
          <c:showLegendKey val="0"/>
          <c:showVal val="0"/>
          <c:showCatName val="0"/>
          <c:showSerName val="0"/>
          <c:showPercent val="0"/>
          <c:showBubbleSize val="0"/>
        </c:dLbls>
        <c:gapWidth val="182"/>
        <c:axId val="1465889168"/>
        <c:axId val="1465887728"/>
      </c:barChart>
      <c:catAx>
        <c:axId val="146588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87728"/>
        <c:crosses val="autoZero"/>
        <c:auto val="1"/>
        <c:lblAlgn val="ctr"/>
        <c:lblOffset val="100"/>
        <c:noMultiLvlLbl val="0"/>
      </c:catAx>
      <c:valAx>
        <c:axId val="1465887728"/>
        <c:scaling>
          <c:orientation val="minMax"/>
        </c:scaling>
        <c:delete val="1"/>
        <c:axPos val="b"/>
        <c:numFmt formatCode="_ * #,##0_ ;_ * \-#,##0_ ;_ * &quot;-&quot;??_ ;_ @_ " sourceLinked="1"/>
        <c:majorTickMark val="none"/>
        <c:minorTickMark val="none"/>
        <c:tickLblPos val="nextTo"/>
        <c:crossAx val="146588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Tables!PivotTable12</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Tables'!$C$159:$C$165</c:f>
              <c:strCache>
                <c:ptCount val="6"/>
                <c:pt idx="0">
                  <c:v>Ganesh</c:v>
                </c:pt>
                <c:pt idx="1">
                  <c:v>Gopi</c:v>
                </c:pt>
                <c:pt idx="2">
                  <c:v>Kiran</c:v>
                </c:pt>
                <c:pt idx="3">
                  <c:v>Mahesh</c:v>
                </c:pt>
                <c:pt idx="4">
                  <c:v>Prathap</c:v>
                </c:pt>
                <c:pt idx="5">
                  <c:v>Ramesh</c:v>
                </c:pt>
              </c:strCache>
            </c:strRef>
          </c:cat>
          <c:val>
            <c:numRef>
              <c:f>'Pivot Tables'!$D$159:$D$165</c:f>
              <c:numCache>
                <c:formatCode>_ * #,##0_ ;_ * \-#,##0_ ;_ * "-"??_ ;_ @_ </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D351-46FA-96F4-09ED88DDB43E}"/>
            </c:ext>
          </c:extLst>
        </c:ser>
        <c:dLbls>
          <c:showLegendKey val="0"/>
          <c:showVal val="0"/>
          <c:showCatName val="0"/>
          <c:showSerName val="0"/>
          <c:showPercent val="0"/>
          <c:showBubbleSize val="0"/>
        </c:dLbls>
        <c:gapWidth val="219"/>
        <c:overlap val="-27"/>
        <c:axId val="1259441200"/>
        <c:axId val="1259442160"/>
      </c:barChart>
      <c:catAx>
        <c:axId val="12594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442160"/>
        <c:crosses val="autoZero"/>
        <c:auto val="1"/>
        <c:lblAlgn val="ctr"/>
        <c:lblOffset val="100"/>
        <c:noMultiLvlLbl val="0"/>
      </c:catAx>
      <c:valAx>
        <c:axId val="1259442160"/>
        <c:scaling>
          <c:orientation val="minMax"/>
        </c:scaling>
        <c:delete val="1"/>
        <c:axPos val="l"/>
        <c:numFmt formatCode="_ * #,##0_ ;_ * \-#,##0_ ;_ * &quot;-&quot;??_ ;_ @_ " sourceLinked="1"/>
        <c:majorTickMark val="none"/>
        <c:minorTickMark val="none"/>
        <c:tickLblPos val="nextTo"/>
        <c:crossAx val="125944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c:f>
              <c:strCache>
                <c:ptCount val="1"/>
                <c:pt idx="0">
                  <c:v>Total</c:v>
                </c:pt>
              </c:strCache>
            </c:strRef>
          </c:tx>
          <c:spPr>
            <a:ln w="28575" cap="rnd">
              <a:solidFill>
                <a:schemeClr val="accent1"/>
              </a:solidFill>
              <a:round/>
            </a:ln>
            <a:effectLst/>
          </c:spPr>
          <c:marker>
            <c:symbol val="none"/>
          </c:marker>
          <c:cat>
            <c:strRef>
              <c:f>'Pivot 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D76C-4089-BBFF-8A932BAD21E4}"/>
            </c:ext>
          </c:extLst>
        </c:ser>
        <c:dLbls>
          <c:showLegendKey val="0"/>
          <c:showVal val="0"/>
          <c:showCatName val="0"/>
          <c:showSerName val="0"/>
          <c:showPercent val="0"/>
          <c:showBubbleSize val="0"/>
        </c:dLbls>
        <c:smooth val="0"/>
        <c:axId val="1235374720"/>
        <c:axId val="1235380000"/>
      </c:lineChart>
      <c:catAx>
        <c:axId val="123537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80000"/>
        <c:crosses val="autoZero"/>
        <c:auto val="1"/>
        <c:lblAlgn val="ctr"/>
        <c:lblOffset val="100"/>
        <c:noMultiLvlLbl val="0"/>
      </c:catAx>
      <c:valAx>
        <c:axId val="123538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37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Tables'!$B$27:$B$33</c:f>
              <c:strCache>
                <c:ptCount val="6"/>
                <c:pt idx="0">
                  <c:v>Bapatla</c:v>
                </c:pt>
                <c:pt idx="1">
                  <c:v>Chirala</c:v>
                </c:pt>
                <c:pt idx="2">
                  <c:v>Guntur</c:v>
                </c:pt>
                <c:pt idx="3">
                  <c:v>Ongole</c:v>
                </c:pt>
                <c:pt idx="4">
                  <c:v>Tenali</c:v>
                </c:pt>
                <c:pt idx="5">
                  <c:v>Vijayawada</c:v>
                </c:pt>
              </c:strCache>
            </c:strRef>
          </c:cat>
          <c:val>
            <c:numRef>
              <c:f>'Pivot Tables'!$C$27:$C$33</c:f>
              <c:numCache>
                <c:formatCode>_ * #,##0_ ;_ * \-#,##0_ ;_ * "-"??_ ;_ @_ </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1ACA-4AB0-86DB-96CBF5485B94}"/>
            </c:ext>
          </c:extLst>
        </c:ser>
        <c:dLbls>
          <c:showLegendKey val="0"/>
          <c:showVal val="0"/>
          <c:showCatName val="0"/>
          <c:showSerName val="0"/>
          <c:showPercent val="0"/>
          <c:showBubbleSize val="0"/>
        </c:dLbls>
        <c:gapWidth val="219"/>
        <c:overlap val="-27"/>
        <c:axId val="1238198912"/>
        <c:axId val="1238203712"/>
      </c:barChart>
      <c:catAx>
        <c:axId val="12381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203712"/>
        <c:crosses val="autoZero"/>
        <c:auto val="1"/>
        <c:lblAlgn val="ctr"/>
        <c:lblOffset val="100"/>
        <c:noMultiLvlLbl val="0"/>
      </c:catAx>
      <c:valAx>
        <c:axId val="1238203712"/>
        <c:scaling>
          <c:orientation val="minMax"/>
        </c:scaling>
        <c:delete val="1"/>
        <c:axPos val="l"/>
        <c:numFmt formatCode="_ * #,##0_ ;_ * \-#,##0_ ;_ * &quot;-&quot;??_ ;_ @_ " sourceLinked="1"/>
        <c:majorTickMark val="none"/>
        <c:minorTickMark val="none"/>
        <c:tickLblPos val="nextTo"/>
        <c:crossAx val="123819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Tables!PivotTable3</c:name>
    <c:fmtId val="22"/>
  </c:pivotSource>
  <c:chart>
    <c:title>
      <c:layout>
        <c:manualLayout>
          <c:xMode val="edge"/>
          <c:yMode val="edge"/>
          <c:x val="0.1770485564304462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 Tables'!$D$47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Tables'!$C$48:$C$54</c:f>
              <c:strCache>
                <c:ptCount val="6"/>
                <c:pt idx="0">
                  <c:v>4K LED TV's</c:v>
                </c:pt>
                <c:pt idx="1">
                  <c:v>Furniture</c:v>
                </c:pt>
                <c:pt idx="2">
                  <c:v>Laptops</c:v>
                </c:pt>
                <c:pt idx="3">
                  <c:v>LED TV's</c:v>
                </c:pt>
                <c:pt idx="4">
                  <c:v>Mobiles</c:v>
                </c:pt>
                <c:pt idx="5">
                  <c:v>Speakers</c:v>
                </c:pt>
              </c:strCache>
            </c:strRef>
          </c:cat>
          <c:val>
            <c:numRef>
              <c:f>'Pivot Tables'!$D$48:$D$54</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41F5-4382-8751-A7A1E35D2114}"/>
            </c:ext>
          </c:extLst>
        </c:ser>
        <c:dLbls>
          <c:showLegendKey val="0"/>
          <c:showVal val="0"/>
          <c:showCatName val="0"/>
          <c:showSerName val="0"/>
          <c:showPercent val="0"/>
          <c:showBubbleSize val="0"/>
        </c:dLbls>
        <c:gapWidth val="182"/>
        <c:axId val="1246194736"/>
        <c:axId val="1246190416"/>
      </c:barChart>
      <c:catAx>
        <c:axId val="124619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90416"/>
        <c:crosses val="autoZero"/>
        <c:auto val="1"/>
        <c:lblAlgn val="ctr"/>
        <c:lblOffset val="100"/>
        <c:noMultiLvlLbl val="0"/>
      </c:catAx>
      <c:valAx>
        <c:axId val="1246190416"/>
        <c:scaling>
          <c:orientation val="minMax"/>
        </c:scaling>
        <c:delete val="1"/>
        <c:axPos val="b"/>
        <c:numFmt formatCode="0.00%" sourceLinked="1"/>
        <c:majorTickMark val="none"/>
        <c:minorTickMark val="none"/>
        <c:tickLblPos val="nextTo"/>
        <c:crossAx val="124619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Tables'!$D$78:$D$81</c:f>
              <c:strCache>
                <c:ptCount val="3"/>
                <c:pt idx="0">
                  <c:v>Speakers</c:v>
                </c:pt>
                <c:pt idx="1">
                  <c:v>4K LED TV's</c:v>
                </c:pt>
                <c:pt idx="2">
                  <c:v>Laptops</c:v>
                </c:pt>
              </c:strCache>
            </c:strRef>
          </c:cat>
          <c:val>
            <c:numRef>
              <c:f>'Pivot Tables'!$E$78:$E$81</c:f>
              <c:numCache>
                <c:formatCode>_ * #,##0_ ;_ * \-#,##0_ ;_ * "-"??_ ;_ @_ </c:formatCode>
                <c:ptCount val="3"/>
                <c:pt idx="0">
                  <c:v>1457</c:v>
                </c:pt>
                <c:pt idx="1">
                  <c:v>1503</c:v>
                </c:pt>
                <c:pt idx="2">
                  <c:v>1615</c:v>
                </c:pt>
              </c:numCache>
            </c:numRef>
          </c:val>
          <c:extLst>
            <c:ext xmlns:c16="http://schemas.microsoft.com/office/drawing/2014/chart" uri="{C3380CC4-5D6E-409C-BE32-E72D297353CC}">
              <c16:uniqueId val="{00000000-AADB-4EFA-BDA2-876DC3999643}"/>
            </c:ext>
          </c:extLst>
        </c:ser>
        <c:dLbls>
          <c:showLegendKey val="0"/>
          <c:showVal val="0"/>
          <c:showCatName val="0"/>
          <c:showSerName val="0"/>
          <c:showPercent val="0"/>
          <c:showBubbleSize val="0"/>
        </c:dLbls>
        <c:gapWidth val="182"/>
        <c:axId val="1463662528"/>
        <c:axId val="1463663008"/>
      </c:barChart>
      <c:catAx>
        <c:axId val="1463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63008"/>
        <c:crosses val="autoZero"/>
        <c:auto val="1"/>
        <c:lblAlgn val="ctr"/>
        <c:lblOffset val="100"/>
        <c:noMultiLvlLbl val="0"/>
      </c:catAx>
      <c:valAx>
        <c:axId val="1463663008"/>
        <c:scaling>
          <c:orientation val="minMax"/>
        </c:scaling>
        <c:delete val="1"/>
        <c:axPos val="b"/>
        <c:numFmt formatCode="_ * #,##0_ ;_ * \-#,##0_ ;_ * &quot;-&quot;??_ ;_ @_ " sourceLinked="1"/>
        <c:majorTickMark val="none"/>
        <c:minorTickMark val="none"/>
        <c:tickLblPos val="nextTo"/>
        <c:crossAx val="1463662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Tables'!$D$84:$D$87</c:f>
              <c:strCache>
                <c:ptCount val="3"/>
                <c:pt idx="0">
                  <c:v>Furniture</c:v>
                </c:pt>
                <c:pt idx="1">
                  <c:v>Mobiles</c:v>
                </c:pt>
                <c:pt idx="2">
                  <c:v>LED TV's</c:v>
                </c:pt>
              </c:strCache>
            </c:strRef>
          </c:cat>
          <c:val>
            <c:numRef>
              <c:f>'Pivot Tables'!$E$84:$E$87</c:f>
              <c:numCache>
                <c:formatCode>_ * #,##0_ ;_ * \-#,##0_ ;_ * "-"??_ ;_ @_ </c:formatCode>
                <c:ptCount val="3"/>
                <c:pt idx="0">
                  <c:v>1233</c:v>
                </c:pt>
                <c:pt idx="1">
                  <c:v>1168</c:v>
                </c:pt>
                <c:pt idx="2">
                  <c:v>694</c:v>
                </c:pt>
              </c:numCache>
            </c:numRef>
          </c:val>
          <c:extLst>
            <c:ext xmlns:c16="http://schemas.microsoft.com/office/drawing/2014/chart" uri="{C3380CC4-5D6E-409C-BE32-E72D297353CC}">
              <c16:uniqueId val="{00000000-FF65-41CF-9194-DBE3F6A48EF5}"/>
            </c:ext>
          </c:extLst>
        </c:ser>
        <c:dLbls>
          <c:showLegendKey val="0"/>
          <c:showVal val="0"/>
          <c:showCatName val="0"/>
          <c:showSerName val="0"/>
          <c:showPercent val="0"/>
          <c:showBubbleSize val="0"/>
        </c:dLbls>
        <c:gapWidth val="182"/>
        <c:axId val="1393979200"/>
        <c:axId val="1393977760"/>
      </c:barChart>
      <c:catAx>
        <c:axId val="139397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977760"/>
        <c:crosses val="autoZero"/>
        <c:auto val="1"/>
        <c:lblAlgn val="ctr"/>
        <c:lblOffset val="100"/>
        <c:noMultiLvlLbl val="0"/>
      </c:catAx>
      <c:valAx>
        <c:axId val="1393977760"/>
        <c:scaling>
          <c:orientation val="minMax"/>
        </c:scaling>
        <c:delete val="1"/>
        <c:axPos val="b"/>
        <c:numFmt formatCode="_ * #,##0_ ;_ * \-#,##0_ ;_ * &quot;-&quot;??_ ;_ @_ " sourceLinked="1"/>
        <c:majorTickMark val="none"/>
        <c:minorTickMark val="none"/>
        <c:tickLblPos val="nextTo"/>
        <c:crossAx val="139397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Tables'!$B$98:$B$104</c:f>
              <c:strCache>
                <c:ptCount val="6"/>
                <c:pt idx="0">
                  <c:v>4K LED TV's</c:v>
                </c:pt>
                <c:pt idx="1">
                  <c:v>Furniture</c:v>
                </c:pt>
                <c:pt idx="2">
                  <c:v>Laptops</c:v>
                </c:pt>
                <c:pt idx="3">
                  <c:v>LED TV's</c:v>
                </c:pt>
                <c:pt idx="4">
                  <c:v>Mobiles</c:v>
                </c:pt>
                <c:pt idx="5">
                  <c:v>Speakers</c:v>
                </c:pt>
              </c:strCache>
            </c:strRef>
          </c:cat>
          <c:val>
            <c:numRef>
              <c:f>'Pivot Tables'!$C$98:$C$104</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091A-4E37-92D9-5D7EB0DD41ED}"/>
            </c:ext>
          </c:extLst>
        </c:ser>
        <c:dLbls>
          <c:showLegendKey val="0"/>
          <c:showVal val="0"/>
          <c:showCatName val="0"/>
          <c:showSerName val="0"/>
          <c:showPercent val="0"/>
          <c:showBubbleSize val="0"/>
        </c:dLbls>
        <c:gapWidth val="219"/>
        <c:overlap val="-27"/>
        <c:axId val="1463657248"/>
        <c:axId val="1463652448"/>
      </c:barChart>
      <c:catAx>
        <c:axId val="14636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652448"/>
        <c:crosses val="autoZero"/>
        <c:auto val="1"/>
        <c:lblAlgn val="ctr"/>
        <c:lblOffset val="100"/>
        <c:noMultiLvlLbl val="0"/>
      </c:catAx>
      <c:valAx>
        <c:axId val="1463652448"/>
        <c:scaling>
          <c:orientation val="minMax"/>
        </c:scaling>
        <c:delete val="1"/>
        <c:axPos val="l"/>
        <c:numFmt formatCode="General" sourceLinked="1"/>
        <c:majorTickMark val="none"/>
        <c:minorTickMark val="none"/>
        <c:tickLblPos val="nextTo"/>
        <c:crossAx val="1463657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 Tables'!$D$131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Tables'!$C$132:$C$135</c:f>
              <c:strCache>
                <c:ptCount val="3"/>
                <c:pt idx="0">
                  <c:v>Mahesh</c:v>
                </c:pt>
                <c:pt idx="1">
                  <c:v>Prathap</c:v>
                </c:pt>
                <c:pt idx="2">
                  <c:v>Ramesh</c:v>
                </c:pt>
              </c:strCache>
            </c:strRef>
          </c:cat>
          <c:val>
            <c:numRef>
              <c:f>'Pivot Tables'!$D$132:$D$135</c:f>
              <c:numCache>
                <c:formatCode>_ * #,##0_ ;_ * \-#,##0_ ;_ * "-"??_ ;_ @_ </c:formatCode>
                <c:ptCount val="3"/>
                <c:pt idx="0">
                  <c:v>810</c:v>
                </c:pt>
                <c:pt idx="1">
                  <c:v>1285</c:v>
                </c:pt>
                <c:pt idx="2">
                  <c:v>947</c:v>
                </c:pt>
              </c:numCache>
            </c:numRef>
          </c:val>
          <c:extLst>
            <c:ext xmlns:c16="http://schemas.microsoft.com/office/drawing/2014/chart" uri="{C3380CC4-5D6E-409C-BE32-E72D297353CC}">
              <c16:uniqueId val="{00000000-9190-4F37-BC59-2DF2A79748B9}"/>
            </c:ext>
          </c:extLst>
        </c:ser>
        <c:dLbls>
          <c:showLegendKey val="0"/>
          <c:showVal val="0"/>
          <c:showCatName val="0"/>
          <c:showSerName val="0"/>
          <c:showPercent val="0"/>
          <c:showBubbleSize val="0"/>
        </c:dLbls>
        <c:gapWidth val="182"/>
        <c:axId val="1465889168"/>
        <c:axId val="1465887728"/>
      </c:barChart>
      <c:catAx>
        <c:axId val="146588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87728"/>
        <c:crosses val="autoZero"/>
        <c:auto val="1"/>
        <c:lblAlgn val="ctr"/>
        <c:lblOffset val="100"/>
        <c:noMultiLvlLbl val="0"/>
      </c:catAx>
      <c:valAx>
        <c:axId val="1465887728"/>
        <c:scaling>
          <c:orientation val="minMax"/>
        </c:scaling>
        <c:delete val="1"/>
        <c:axPos val="b"/>
        <c:numFmt formatCode="_ * #,##0_ ;_ * \-#,##0_ ;_ * &quot;-&quot;??_ ;_ @_ " sourceLinked="1"/>
        <c:majorTickMark val="none"/>
        <c:minorTickMark val="none"/>
        <c:tickLblPos val="nextTo"/>
        <c:crossAx val="1465889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Tables'!$D$117</c:f>
              <c:strCache>
                <c:ptCount val="1"/>
                <c:pt idx="0">
                  <c:v>Total</c:v>
                </c:pt>
              </c:strCache>
            </c:strRef>
          </c:tx>
          <c:spPr>
            <a:solidFill>
              <a:schemeClr val="accent1"/>
            </a:solidFill>
            <a:ln>
              <a:noFill/>
            </a:ln>
            <a:effectLst/>
          </c:spPr>
          <c:invertIfNegative val="0"/>
          <c:cat>
            <c:strRef>
              <c:f>'Pivot Tables'!$C$118:$C$121</c:f>
              <c:strCache>
                <c:ptCount val="3"/>
                <c:pt idx="0">
                  <c:v>Mahesh</c:v>
                </c:pt>
                <c:pt idx="1">
                  <c:v>Prathap</c:v>
                </c:pt>
                <c:pt idx="2">
                  <c:v>Ramesh</c:v>
                </c:pt>
              </c:strCache>
            </c:strRef>
          </c:cat>
          <c:val>
            <c:numRef>
              <c:f>'Pivot Tables'!$D$118:$D$121</c:f>
              <c:numCache>
                <c:formatCode>_ * #,##0_ ;_ * \-#,##0_ ;_ * "-"??_ ;_ @_ </c:formatCode>
                <c:ptCount val="3"/>
                <c:pt idx="0">
                  <c:v>810</c:v>
                </c:pt>
                <c:pt idx="1">
                  <c:v>1285</c:v>
                </c:pt>
                <c:pt idx="2">
                  <c:v>947</c:v>
                </c:pt>
              </c:numCache>
            </c:numRef>
          </c:val>
          <c:extLst>
            <c:ext xmlns:c16="http://schemas.microsoft.com/office/drawing/2014/chart" uri="{C3380CC4-5D6E-409C-BE32-E72D297353CC}">
              <c16:uniqueId val="{00000000-4EDB-474B-B226-8B4A0DAAE1A9}"/>
            </c:ext>
          </c:extLst>
        </c:ser>
        <c:dLbls>
          <c:showLegendKey val="0"/>
          <c:showVal val="0"/>
          <c:showCatName val="0"/>
          <c:showSerName val="0"/>
          <c:showPercent val="0"/>
          <c:showBubbleSize val="0"/>
        </c:dLbls>
        <c:gapWidth val="182"/>
        <c:axId val="1087074224"/>
        <c:axId val="1388378688"/>
      </c:barChart>
      <c:catAx>
        <c:axId val="108707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378688"/>
        <c:crosses val="autoZero"/>
        <c:auto val="1"/>
        <c:lblAlgn val="ctr"/>
        <c:lblOffset val="100"/>
        <c:noMultiLvlLbl val="0"/>
      </c:catAx>
      <c:valAx>
        <c:axId val="1388378688"/>
        <c:scaling>
          <c:orientation val="minMax"/>
        </c:scaling>
        <c:delete val="1"/>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108707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Practice File.xlsx]Pivot Tables!PivotTable12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Tables'!$C$159:$C$165</c:f>
              <c:strCache>
                <c:ptCount val="6"/>
                <c:pt idx="0">
                  <c:v>Ganesh</c:v>
                </c:pt>
                <c:pt idx="1">
                  <c:v>Gopi</c:v>
                </c:pt>
                <c:pt idx="2">
                  <c:v>Kiran</c:v>
                </c:pt>
                <c:pt idx="3">
                  <c:v>Mahesh</c:v>
                </c:pt>
                <c:pt idx="4">
                  <c:v>Prathap</c:v>
                </c:pt>
                <c:pt idx="5">
                  <c:v>Ramesh</c:v>
                </c:pt>
              </c:strCache>
            </c:strRef>
          </c:cat>
          <c:val>
            <c:numRef>
              <c:f>'Pivot Tables'!$D$159:$D$165</c:f>
              <c:numCache>
                <c:formatCode>_ * #,##0_ ;_ * \-#,##0_ ;_ * "-"??_ ;_ @_ </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1BE7-4C80-926E-BEB3E90930DA}"/>
            </c:ext>
          </c:extLst>
        </c:ser>
        <c:dLbls>
          <c:showLegendKey val="0"/>
          <c:showVal val="0"/>
          <c:showCatName val="0"/>
          <c:showSerName val="0"/>
          <c:showPercent val="0"/>
          <c:showBubbleSize val="0"/>
        </c:dLbls>
        <c:gapWidth val="219"/>
        <c:overlap val="-27"/>
        <c:axId val="1259441200"/>
        <c:axId val="1259442160"/>
      </c:barChart>
      <c:catAx>
        <c:axId val="12594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442160"/>
        <c:crosses val="autoZero"/>
        <c:auto val="1"/>
        <c:lblAlgn val="ctr"/>
        <c:lblOffset val="100"/>
        <c:noMultiLvlLbl val="0"/>
      </c:catAx>
      <c:valAx>
        <c:axId val="1259442160"/>
        <c:scaling>
          <c:orientation val="minMax"/>
        </c:scaling>
        <c:delete val="1"/>
        <c:axPos val="l"/>
        <c:numFmt formatCode="_ * #,##0_ ;_ * \-#,##0_ ;_ * &quot;-&quot;??_ ;_ @_ " sourceLinked="1"/>
        <c:majorTickMark val="none"/>
        <c:minorTickMark val="none"/>
        <c:tickLblPos val="nextTo"/>
        <c:crossAx val="125944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3" Type="http://schemas.openxmlformats.org/officeDocument/2006/relationships/image" Target="../media/image3.svg"/><Relationship Id="rId7" Type="http://schemas.openxmlformats.org/officeDocument/2006/relationships/image" Target="../media/image4.png"/><Relationship Id="rId12"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hyperlink" Target="#DashBoard!A1"/><Relationship Id="rId6" Type="http://schemas.openxmlformats.org/officeDocument/2006/relationships/hyperlink" Target="#About!A1"/><Relationship Id="rId11" Type="http://schemas.openxmlformats.org/officeDocument/2006/relationships/chart" Target="../charts/chart1.xml"/><Relationship Id="rId5" Type="http://schemas.openxmlformats.org/officeDocument/2006/relationships/hyperlink" Target="#Salesmans!A1"/><Relationship Id="rId10" Type="http://schemas.openxmlformats.org/officeDocument/2006/relationships/image" Target="../media/image7.svg"/><Relationship Id="rId4" Type="http://schemas.openxmlformats.org/officeDocument/2006/relationships/hyperlink" Target="#products!A1"/><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hyperlink" Target="#About!A1"/><Relationship Id="rId4" Type="http://schemas.openxmlformats.org/officeDocument/2006/relationships/hyperlink" Target="#Salesmans!A1"/></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hyperlink" Target="#About!A1"/><Relationship Id="rId4" Type="http://schemas.openxmlformats.org/officeDocument/2006/relationships/hyperlink" Target="#products!A1"/></Relationships>
</file>

<file path=xl/drawings/_rels/drawing4.xml.rels><?xml version="1.0" encoding="UTF-8" standalone="yes"?>
<Relationships xmlns="http://schemas.openxmlformats.org/package/2006/relationships"><Relationship Id="rId3" Type="http://schemas.openxmlformats.org/officeDocument/2006/relationships/hyperlink" Target="#products!A1"/><Relationship Id="rId2" Type="http://schemas.openxmlformats.org/officeDocument/2006/relationships/hyperlink" Target="#DashBoard!A1"/><Relationship Id="rId1" Type="http://schemas.openxmlformats.org/officeDocument/2006/relationships/hyperlink" Target="#About!A1"/><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hyperlink" Target="#Salesmans!A1"/></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23</xdr:col>
      <xdr:colOff>60960</xdr:colOff>
      <xdr:row>32</xdr:row>
      <xdr:rowOff>167640</xdr:rowOff>
    </xdr:to>
    <xdr:sp macro="" textlink="">
      <xdr:nvSpPr>
        <xdr:cNvPr id="2" name="Rectangle: Rounded Corners 1">
          <a:extLst>
            <a:ext uri="{FF2B5EF4-FFF2-40B4-BE49-F238E27FC236}">
              <a16:creationId xmlns:a16="http://schemas.microsoft.com/office/drawing/2014/main" id="{E69A32E7-2D41-1E92-4520-EA29810C99F9}"/>
            </a:ext>
          </a:extLst>
        </xdr:cNvPr>
        <xdr:cNvSpPr/>
      </xdr:nvSpPr>
      <xdr:spPr>
        <a:xfrm>
          <a:off x="114300" y="76200"/>
          <a:ext cx="13877583" cy="6031132"/>
        </a:xfrm>
        <a:prstGeom prst="roundRect">
          <a:avLst>
            <a:gd name="adj" fmla="val 37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167640</xdr:colOff>
      <xdr:row>0</xdr:row>
      <xdr:rowOff>114300</xdr:rowOff>
    </xdr:from>
    <xdr:to>
      <xdr:col>23</xdr:col>
      <xdr:colOff>30480</xdr:colOff>
      <xdr:row>32</xdr:row>
      <xdr:rowOff>91440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F24EE7D-35BA-4019-B1C5-3863F317A9FC}"/>
            </a:ext>
          </a:extLst>
        </xdr:cNvPr>
        <xdr:cNvSpPr/>
      </xdr:nvSpPr>
      <xdr:spPr>
        <a:xfrm>
          <a:off x="2590409" y="114300"/>
          <a:ext cx="11370994" cy="5916832"/>
        </a:xfrm>
        <a:prstGeom prst="roundRect">
          <a:avLst>
            <a:gd name="adj" fmla="val 3752"/>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259080</xdr:colOff>
      <xdr:row>1</xdr:row>
      <xdr:rowOff>15240</xdr:rowOff>
    </xdr:from>
    <xdr:to>
      <xdr:col>13</xdr:col>
      <xdr:colOff>396240</xdr:colOff>
      <xdr:row>7</xdr:row>
      <xdr:rowOff>99060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A2D5C4D3-8E9A-4C33-94F4-0D87DE4CA3C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705501" y="195714"/>
              <a:ext cx="5641607" cy="116666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426720</xdr:colOff>
      <xdr:row>1</xdr:row>
      <xdr:rowOff>15240</xdr:rowOff>
    </xdr:from>
    <xdr:to>
      <xdr:col>22</xdr:col>
      <xdr:colOff>571500</xdr:colOff>
      <xdr:row>7</xdr:row>
      <xdr:rowOff>114300</xdr:rowOff>
    </xdr:to>
    <mc:AlternateContent xmlns:mc="http://schemas.openxmlformats.org/markup-compatibility/2006">
      <mc:Choice xmlns:a14="http://schemas.microsoft.com/office/drawing/2010/main" Requires="a14">
        <xdr:graphicFrame macro="">
          <xdr:nvGraphicFramePr>
            <xdr:cNvPr id="5" name="Place 1">
              <a:extLst>
                <a:ext uri="{FF2B5EF4-FFF2-40B4-BE49-F238E27FC236}">
                  <a16:creationId xmlns:a16="http://schemas.microsoft.com/office/drawing/2014/main" id="{8C94D866-6F3D-4BA7-AB97-0CFEFFFF0C5D}"/>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8377588" y="195714"/>
              <a:ext cx="5649228" cy="1181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8</xdr:row>
      <xdr:rowOff>22860</xdr:rowOff>
    </xdr:from>
    <xdr:to>
      <xdr:col>22</xdr:col>
      <xdr:colOff>563880</xdr:colOff>
      <xdr:row>12</xdr:row>
      <xdr:rowOff>15239</xdr:rowOff>
    </xdr:to>
    <mc:AlternateContent xmlns:mc="http://schemas.openxmlformats.org/markup-compatibility/2006">
      <mc:Choice xmlns:a14="http://schemas.microsoft.com/office/drawing/2010/main" Requires="a14">
        <xdr:graphicFrame macro="">
          <xdr:nvGraphicFramePr>
            <xdr:cNvPr id="6" name="Products 1">
              <a:extLst>
                <a:ext uri="{FF2B5EF4-FFF2-40B4-BE49-F238E27FC236}">
                  <a16:creationId xmlns:a16="http://schemas.microsoft.com/office/drawing/2014/main" id="{68D9D540-90EE-4249-93C8-591DC94E073F}"/>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2713121" y="1466649"/>
              <a:ext cx="11306075" cy="714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12</xdr:row>
      <xdr:rowOff>55489</xdr:rowOff>
    </xdr:from>
    <xdr:to>
      <xdr:col>5</xdr:col>
      <xdr:colOff>312420</xdr:colOff>
      <xdr:row>16</xdr:row>
      <xdr:rowOff>85970</xdr:rowOff>
    </xdr:to>
    <xdr:pic>
      <xdr:nvPicPr>
        <xdr:cNvPr id="8" name="Graphic 7" descr="Bar chart with solid fill">
          <a:extLst>
            <a:ext uri="{FF2B5EF4-FFF2-40B4-BE49-F238E27FC236}">
              <a16:creationId xmlns:a16="http://schemas.microsoft.com/office/drawing/2014/main" id="{5012712B-4BA7-13F1-A42C-BFE4886234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82789" y="2282874"/>
          <a:ext cx="758093" cy="772942"/>
        </a:xfrm>
        <a:prstGeom prst="rect">
          <a:avLst/>
        </a:prstGeom>
      </xdr:spPr>
    </xdr:pic>
    <xdr:clientData/>
  </xdr:twoCellAnchor>
  <xdr:twoCellAnchor>
    <xdr:from>
      <xdr:col>5</xdr:col>
      <xdr:colOff>237783</xdr:colOff>
      <xdr:row>12</xdr:row>
      <xdr:rowOff>144389</xdr:rowOff>
    </xdr:from>
    <xdr:to>
      <xdr:col>9</xdr:col>
      <xdr:colOff>176823</xdr:colOff>
      <xdr:row>15</xdr:row>
      <xdr:rowOff>136770</xdr:rowOff>
    </xdr:to>
    <xdr:sp macro="" textlink="">
      <xdr:nvSpPr>
        <xdr:cNvPr id="9" name="Rectangle 8">
          <a:extLst>
            <a:ext uri="{FF2B5EF4-FFF2-40B4-BE49-F238E27FC236}">
              <a16:creationId xmlns:a16="http://schemas.microsoft.com/office/drawing/2014/main" id="{AD6C7325-DCFB-9A14-F5CF-5E4216A24D94}"/>
            </a:ext>
          </a:extLst>
        </xdr:cNvPr>
        <xdr:cNvSpPr/>
      </xdr:nvSpPr>
      <xdr:spPr>
        <a:xfrm>
          <a:off x="3266245" y="2371774"/>
          <a:ext cx="2361809" cy="5492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xdr:from>
      <xdr:col>4</xdr:col>
      <xdr:colOff>296008</xdr:colOff>
      <xdr:row>16</xdr:row>
      <xdr:rowOff>104336</xdr:rowOff>
    </xdr:from>
    <xdr:to>
      <xdr:col>9</xdr:col>
      <xdr:colOff>67408</xdr:colOff>
      <xdr:row>21</xdr:row>
      <xdr:rowOff>89096</xdr:rowOff>
    </xdr:to>
    <xdr:sp macro="" textlink="">
      <xdr:nvSpPr>
        <xdr:cNvPr id="10" name="Rectangle: Rounded Corners 9">
          <a:extLst>
            <a:ext uri="{FF2B5EF4-FFF2-40B4-BE49-F238E27FC236}">
              <a16:creationId xmlns:a16="http://schemas.microsoft.com/office/drawing/2014/main" id="{3C01D1DD-E7B9-4BEC-0F9A-660FF713A7C6}"/>
            </a:ext>
          </a:extLst>
        </xdr:cNvPr>
        <xdr:cNvSpPr/>
      </xdr:nvSpPr>
      <xdr:spPr>
        <a:xfrm>
          <a:off x="2718777" y="3074182"/>
          <a:ext cx="2799862" cy="912837"/>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26182</xdr:colOff>
      <xdr:row>16</xdr:row>
      <xdr:rowOff>107462</xdr:rowOff>
    </xdr:from>
    <xdr:to>
      <xdr:col>8</xdr:col>
      <xdr:colOff>544342</xdr:colOff>
      <xdr:row>21</xdr:row>
      <xdr:rowOff>79326</xdr:rowOff>
    </xdr:to>
    <xdr:sp macro="" textlink="">
      <xdr:nvSpPr>
        <xdr:cNvPr id="11" name="Rectangle: Rounded Corners 10">
          <a:extLst>
            <a:ext uri="{FF2B5EF4-FFF2-40B4-BE49-F238E27FC236}">
              <a16:creationId xmlns:a16="http://schemas.microsoft.com/office/drawing/2014/main" id="{D3A16EBE-DC54-49BB-BF15-B8A917D65672}"/>
            </a:ext>
          </a:extLst>
        </xdr:cNvPr>
        <xdr:cNvSpPr/>
      </xdr:nvSpPr>
      <xdr:spPr>
        <a:xfrm>
          <a:off x="3054644" y="3077308"/>
          <a:ext cx="2335236" cy="8999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240713</xdr:colOff>
      <xdr:row>16</xdr:row>
      <xdr:rowOff>118404</xdr:rowOff>
    </xdr:from>
    <xdr:to>
      <xdr:col>14</xdr:col>
      <xdr:colOff>12113</xdr:colOff>
      <xdr:row>21</xdr:row>
      <xdr:rowOff>103164</xdr:rowOff>
    </xdr:to>
    <xdr:sp macro="" textlink="">
      <xdr:nvSpPr>
        <xdr:cNvPr id="12" name="Rectangle: Rounded Corners 11">
          <a:extLst>
            <a:ext uri="{FF2B5EF4-FFF2-40B4-BE49-F238E27FC236}">
              <a16:creationId xmlns:a16="http://schemas.microsoft.com/office/drawing/2014/main" id="{FEFED048-AC9E-472C-AF34-250E8E53B66D}"/>
            </a:ext>
          </a:extLst>
        </xdr:cNvPr>
        <xdr:cNvSpPr/>
      </xdr:nvSpPr>
      <xdr:spPr>
        <a:xfrm>
          <a:off x="5691944" y="3088250"/>
          <a:ext cx="2799861" cy="912837"/>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584200</xdr:colOff>
      <xdr:row>16</xdr:row>
      <xdr:rowOff>117231</xdr:rowOff>
    </xdr:from>
    <xdr:to>
      <xdr:col>13</xdr:col>
      <xdr:colOff>496668</xdr:colOff>
      <xdr:row>21</xdr:row>
      <xdr:rowOff>95544</xdr:rowOff>
    </xdr:to>
    <xdr:sp macro="" textlink="">
      <xdr:nvSpPr>
        <xdr:cNvPr id="14" name="Rectangle: Rounded Corners 13">
          <a:extLst>
            <a:ext uri="{FF2B5EF4-FFF2-40B4-BE49-F238E27FC236}">
              <a16:creationId xmlns:a16="http://schemas.microsoft.com/office/drawing/2014/main" id="{2AFC9B11-4CD7-48CB-9D55-08BCD7D4D092}"/>
            </a:ext>
          </a:extLst>
        </xdr:cNvPr>
        <xdr:cNvSpPr/>
      </xdr:nvSpPr>
      <xdr:spPr>
        <a:xfrm>
          <a:off x="6050722" y="3121057"/>
          <a:ext cx="2342033" cy="91700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274515</xdr:colOff>
      <xdr:row>22</xdr:row>
      <xdr:rowOff>9770</xdr:rowOff>
    </xdr:from>
    <xdr:to>
      <xdr:col>14</xdr:col>
      <xdr:colOff>586154</xdr:colOff>
      <xdr:row>31</xdr:row>
      <xdr:rowOff>185614</xdr:rowOff>
    </xdr:to>
    <xdr:sp macro="" textlink="">
      <xdr:nvSpPr>
        <xdr:cNvPr id="15" name="Rectangle 14">
          <a:extLst>
            <a:ext uri="{FF2B5EF4-FFF2-40B4-BE49-F238E27FC236}">
              <a16:creationId xmlns:a16="http://schemas.microsoft.com/office/drawing/2014/main" id="{6910AE8D-2CAD-A63B-FCDD-0BAE85F37A74}"/>
            </a:ext>
          </a:extLst>
        </xdr:cNvPr>
        <xdr:cNvSpPr/>
      </xdr:nvSpPr>
      <xdr:spPr>
        <a:xfrm>
          <a:off x="2704080" y="4140031"/>
          <a:ext cx="6385552" cy="18654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15</xdr:col>
      <xdr:colOff>56271</xdr:colOff>
      <xdr:row>12</xdr:row>
      <xdr:rowOff>65453</xdr:rowOff>
    </xdr:from>
    <xdr:to>
      <xdr:col>22</xdr:col>
      <xdr:colOff>556846</xdr:colOff>
      <xdr:row>22</xdr:row>
      <xdr:rowOff>55683</xdr:rowOff>
    </xdr:to>
    <xdr:sp macro="" textlink="">
      <xdr:nvSpPr>
        <xdr:cNvPr id="17" name="Rectangle 16">
          <a:extLst>
            <a:ext uri="{FF2B5EF4-FFF2-40B4-BE49-F238E27FC236}">
              <a16:creationId xmlns:a16="http://schemas.microsoft.com/office/drawing/2014/main" id="{50887EF5-5591-4D54-A336-CF6C2D00D1DB}"/>
            </a:ext>
          </a:extLst>
        </xdr:cNvPr>
        <xdr:cNvSpPr/>
      </xdr:nvSpPr>
      <xdr:spPr>
        <a:xfrm>
          <a:off x="9200271" y="2286139"/>
          <a:ext cx="4767775" cy="184080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66040</xdr:colOff>
      <xdr:row>22</xdr:row>
      <xdr:rowOff>94763</xdr:rowOff>
    </xdr:from>
    <xdr:to>
      <xdr:col>22</xdr:col>
      <xdr:colOff>566615</xdr:colOff>
      <xdr:row>32</xdr:row>
      <xdr:rowOff>1</xdr:rowOff>
    </xdr:to>
    <xdr:sp macro="" textlink="">
      <xdr:nvSpPr>
        <xdr:cNvPr id="18" name="Rectangle 17">
          <a:extLst>
            <a:ext uri="{FF2B5EF4-FFF2-40B4-BE49-F238E27FC236}">
              <a16:creationId xmlns:a16="http://schemas.microsoft.com/office/drawing/2014/main" id="{11C97883-5D36-485A-9ACB-61C0FA4883B8}"/>
            </a:ext>
          </a:extLst>
        </xdr:cNvPr>
        <xdr:cNvSpPr/>
      </xdr:nvSpPr>
      <xdr:spPr>
        <a:xfrm>
          <a:off x="9210040" y="4166020"/>
          <a:ext cx="4767775" cy="17558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224693</xdr:colOff>
      <xdr:row>11</xdr:row>
      <xdr:rowOff>9770</xdr:rowOff>
    </xdr:from>
    <xdr:to>
      <xdr:col>4</xdr:col>
      <xdr:colOff>58617</xdr:colOff>
      <xdr:row>15</xdr:row>
      <xdr:rowOff>87923</xdr:rowOff>
    </xdr:to>
    <xdr:sp macro="" textlink="">
      <xdr:nvSpPr>
        <xdr:cNvPr id="19" name="Rectangle: Rounded Corners 18">
          <a:extLst>
            <a:ext uri="{FF2B5EF4-FFF2-40B4-BE49-F238E27FC236}">
              <a16:creationId xmlns:a16="http://schemas.microsoft.com/office/drawing/2014/main" id="{3F702667-2DB6-FDB0-D4BB-8EE3FEF44D5A}"/>
            </a:ext>
          </a:extLst>
        </xdr:cNvPr>
        <xdr:cNvSpPr/>
      </xdr:nvSpPr>
      <xdr:spPr>
        <a:xfrm>
          <a:off x="224693" y="2051539"/>
          <a:ext cx="2256693" cy="820615"/>
        </a:xfrm>
        <a:prstGeom prst="roundRect">
          <a:avLst>
            <a:gd name="adj" fmla="val 309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rPr>
            <a:t>DASHBOARD</a:t>
          </a:r>
        </a:p>
      </xdr:txBody>
    </xdr:sp>
    <xdr:clientData/>
  </xdr:twoCellAnchor>
  <xdr:twoCellAnchor>
    <xdr:from>
      <xdr:col>0</xdr:col>
      <xdr:colOff>202223</xdr:colOff>
      <xdr:row>16</xdr:row>
      <xdr:rowOff>27354</xdr:rowOff>
    </xdr:from>
    <xdr:to>
      <xdr:col>4</xdr:col>
      <xdr:colOff>36147</xdr:colOff>
      <xdr:row>20</xdr:row>
      <xdr:rowOff>105507</xdr:rowOff>
    </xdr:to>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4858A4FB-C967-48AE-BF6C-ABA8985D6065}"/>
            </a:ext>
          </a:extLst>
        </xdr:cNvPr>
        <xdr:cNvSpPr/>
      </xdr:nvSpPr>
      <xdr:spPr>
        <a:xfrm>
          <a:off x="202223" y="2997200"/>
          <a:ext cx="2256693" cy="820615"/>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PRODUCTS</a:t>
          </a:r>
        </a:p>
      </xdr:txBody>
    </xdr:sp>
    <xdr:clientData/>
  </xdr:twoCellAnchor>
  <xdr:twoCellAnchor>
    <xdr:from>
      <xdr:col>0</xdr:col>
      <xdr:colOff>182685</xdr:colOff>
      <xdr:row>21</xdr:row>
      <xdr:rowOff>76200</xdr:rowOff>
    </xdr:from>
    <xdr:to>
      <xdr:col>4</xdr:col>
      <xdr:colOff>16609</xdr:colOff>
      <xdr:row>25</xdr:row>
      <xdr:rowOff>154353</xdr:rowOff>
    </xdr:to>
    <xdr:sp macro="" textlink="">
      <xdr:nvSpPr>
        <xdr:cNvPr id="22" name="Rectangle: Rounded Corners 21">
          <a:hlinkClick xmlns:r="http://schemas.openxmlformats.org/officeDocument/2006/relationships" r:id="rId5"/>
          <a:extLst>
            <a:ext uri="{FF2B5EF4-FFF2-40B4-BE49-F238E27FC236}">
              <a16:creationId xmlns:a16="http://schemas.microsoft.com/office/drawing/2014/main" id="{31F2FC73-CCE1-421F-B8B6-8CD5F4E61134}"/>
            </a:ext>
          </a:extLst>
        </xdr:cNvPr>
        <xdr:cNvSpPr/>
      </xdr:nvSpPr>
      <xdr:spPr>
        <a:xfrm>
          <a:off x="182685" y="3974123"/>
          <a:ext cx="2256693" cy="820615"/>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SALESMAN</a:t>
          </a:r>
        </a:p>
      </xdr:txBody>
    </xdr:sp>
    <xdr:clientData/>
  </xdr:twoCellAnchor>
  <xdr:twoCellAnchor>
    <xdr:from>
      <xdr:col>0</xdr:col>
      <xdr:colOff>182686</xdr:colOff>
      <xdr:row>26</xdr:row>
      <xdr:rowOff>144584</xdr:rowOff>
    </xdr:from>
    <xdr:to>
      <xdr:col>4</xdr:col>
      <xdr:colOff>16610</xdr:colOff>
      <xdr:row>31</xdr:row>
      <xdr:rowOff>37122</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FE1C6AE9-58CB-4DAE-BE8B-B7AAF42B3CE7}"/>
            </a:ext>
          </a:extLst>
        </xdr:cNvPr>
        <xdr:cNvSpPr/>
      </xdr:nvSpPr>
      <xdr:spPr>
        <a:xfrm>
          <a:off x="182686" y="4970584"/>
          <a:ext cx="2256693" cy="820615"/>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ABOUT</a:t>
          </a:r>
        </a:p>
      </xdr:txBody>
    </xdr:sp>
    <xdr:clientData/>
  </xdr:twoCellAnchor>
  <xdr:twoCellAnchor>
    <xdr:from>
      <xdr:col>5</xdr:col>
      <xdr:colOff>263770</xdr:colOff>
      <xdr:row>16</xdr:row>
      <xdr:rowOff>19538</xdr:rowOff>
    </xdr:from>
    <xdr:to>
      <xdr:col>9</xdr:col>
      <xdr:colOff>244231</xdr:colOff>
      <xdr:row>19</xdr:row>
      <xdr:rowOff>68384</xdr:rowOff>
    </xdr:to>
    <xdr:sp macro="" textlink="">
      <xdr:nvSpPr>
        <xdr:cNvPr id="26" name="Rectangle 25">
          <a:extLst>
            <a:ext uri="{FF2B5EF4-FFF2-40B4-BE49-F238E27FC236}">
              <a16:creationId xmlns:a16="http://schemas.microsoft.com/office/drawing/2014/main" id="{904499F2-7894-F190-8C3D-4A209270AA98}"/>
            </a:ext>
          </a:extLst>
        </xdr:cNvPr>
        <xdr:cNvSpPr/>
      </xdr:nvSpPr>
      <xdr:spPr>
        <a:xfrm>
          <a:off x="3292232" y="2989384"/>
          <a:ext cx="2403230" cy="6056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3">
                  <a:lumMod val="60000"/>
                  <a:lumOff val="40000"/>
                </a:schemeClr>
              </a:solidFill>
            </a:rPr>
            <a:t>Total</a:t>
          </a:r>
          <a:r>
            <a:rPr lang="en-IN" sz="2000" b="1" baseline="0">
              <a:solidFill>
                <a:schemeClr val="accent3">
                  <a:lumMod val="60000"/>
                  <a:lumOff val="40000"/>
                </a:schemeClr>
              </a:solidFill>
            </a:rPr>
            <a:t> Amount</a:t>
          </a:r>
          <a:endParaRPr lang="en-IN" sz="1000" b="1">
            <a:solidFill>
              <a:schemeClr val="accent3">
                <a:lumMod val="60000"/>
                <a:lumOff val="40000"/>
              </a:schemeClr>
            </a:solidFill>
          </a:endParaRPr>
        </a:p>
      </xdr:txBody>
    </xdr:sp>
    <xdr:clientData/>
  </xdr:twoCellAnchor>
  <xdr:twoCellAnchor>
    <xdr:from>
      <xdr:col>10</xdr:col>
      <xdr:colOff>372207</xdr:colOff>
      <xdr:row>16</xdr:row>
      <xdr:rowOff>39078</xdr:rowOff>
    </xdr:from>
    <xdr:to>
      <xdr:col>14</xdr:col>
      <xdr:colOff>352668</xdr:colOff>
      <xdr:row>19</xdr:row>
      <xdr:rowOff>87924</xdr:rowOff>
    </xdr:to>
    <xdr:sp macro="" textlink="">
      <xdr:nvSpPr>
        <xdr:cNvPr id="30" name="Rectangle 29">
          <a:extLst>
            <a:ext uri="{FF2B5EF4-FFF2-40B4-BE49-F238E27FC236}">
              <a16:creationId xmlns:a16="http://schemas.microsoft.com/office/drawing/2014/main" id="{203F9F9C-FC68-4AEC-AE3D-2F13DE7E7A62}"/>
            </a:ext>
          </a:extLst>
        </xdr:cNvPr>
        <xdr:cNvSpPr/>
      </xdr:nvSpPr>
      <xdr:spPr>
        <a:xfrm>
          <a:off x="6429130" y="3008924"/>
          <a:ext cx="2403230" cy="6056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2">
                  <a:lumMod val="75000"/>
                </a:schemeClr>
              </a:solidFill>
            </a:rPr>
            <a:t>Total</a:t>
          </a:r>
          <a:r>
            <a:rPr lang="en-IN" sz="2000" b="1" baseline="0">
              <a:solidFill>
                <a:schemeClr val="accent2">
                  <a:lumMod val="75000"/>
                </a:schemeClr>
              </a:solidFill>
            </a:rPr>
            <a:t> Sales</a:t>
          </a:r>
          <a:endParaRPr lang="en-IN" sz="1000" b="1">
            <a:solidFill>
              <a:schemeClr val="accent2">
                <a:lumMod val="75000"/>
              </a:schemeClr>
            </a:solidFill>
          </a:endParaRPr>
        </a:p>
      </xdr:txBody>
    </xdr:sp>
    <xdr:clientData/>
  </xdr:twoCellAnchor>
  <xdr:twoCellAnchor editAs="oneCell">
    <xdr:from>
      <xdr:col>10</xdr:col>
      <xdr:colOff>107462</xdr:colOff>
      <xdr:row>16</xdr:row>
      <xdr:rowOff>166287</xdr:rowOff>
    </xdr:from>
    <xdr:to>
      <xdr:col>11</xdr:col>
      <xdr:colOff>234463</xdr:colOff>
      <xdr:row>21</xdr:row>
      <xdr:rowOff>64475</xdr:rowOff>
    </xdr:to>
    <xdr:pic>
      <xdr:nvPicPr>
        <xdr:cNvPr id="32" name="Graphic 31" descr="Business Growth with solid fill">
          <a:extLst>
            <a:ext uri="{FF2B5EF4-FFF2-40B4-BE49-F238E27FC236}">
              <a16:creationId xmlns:a16="http://schemas.microsoft.com/office/drawing/2014/main" id="{DECF413C-4814-4C2E-238E-4F1B69CB3A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64385" y="3136133"/>
          <a:ext cx="732693" cy="826265"/>
        </a:xfrm>
        <a:prstGeom prst="rect">
          <a:avLst/>
        </a:prstGeom>
      </xdr:spPr>
    </xdr:pic>
    <xdr:clientData/>
  </xdr:twoCellAnchor>
  <xdr:twoCellAnchor editAs="oneCell">
    <xdr:from>
      <xdr:col>5</xdr:col>
      <xdr:colOff>47625</xdr:colOff>
      <xdr:row>17</xdr:row>
      <xdr:rowOff>59530</xdr:rowOff>
    </xdr:from>
    <xdr:to>
      <xdr:col>6</xdr:col>
      <xdr:colOff>92869</xdr:colOff>
      <xdr:row>20</xdr:row>
      <xdr:rowOff>176212</xdr:rowOff>
    </xdr:to>
    <xdr:pic>
      <xdr:nvPicPr>
        <xdr:cNvPr id="39" name="Graphic 38" descr="Coins with solid fill">
          <a:extLst>
            <a:ext uri="{FF2B5EF4-FFF2-40B4-BE49-F238E27FC236}">
              <a16:creationId xmlns:a16="http://schemas.microsoft.com/office/drawing/2014/main" id="{A80D125E-479C-2359-928F-749955585C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83719" y="3095624"/>
          <a:ext cx="652463" cy="652463"/>
        </a:xfrm>
        <a:prstGeom prst="rect">
          <a:avLst/>
        </a:prstGeom>
      </xdr:spPr>
    </xdr:pic>
    <xdr:clientData/>
  </xdr:twoCellAnchor>
  <xdr:twoCellAnchor>
    <xdr:from>
      <xdr:col>15</xdr:col>
      <xdr:colOff>97970</xdr:colOff>
      <xdr:row>13</xdr:row>
      <xdr:rowOff>130628</xdr:rowOff>
    </xdr:from>
    <xdr:to>
      <xdr:col>22</xdr:col>
      <xdr:colOff>544285</xdr:colOff>
      <xdr:row>21</xdr:row>
      <xdr:rowOff>174171</xdr:rowOff>
    </xdr:to>
    <xdr:graphicFrame macro="">
      <xdr:nvGraphicFramePr>
        <xdr:cNvPr id="43" name="Chart 42">
          <a:extLst>
            <a:ext uri="{FF2B5EF4-FFF2-40B4-BE49-F238E27FC236}">
              <a16:creationId xmlns:a16="http://schemas.microsoft.com/office/drawing/2014/main" id="{04D740C1-41F8-4A92-8299-2CBB35725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500701</xdr:colOff>
      <xdr:row>11</xdr:row>
      <xdr:rowOff>70168</xdr:rowOff>
    </xdr:from>
    <xdr:to>
      <xdr:col>18</xdr:col>
      <xdr:colOff>481163</xdr:colOff>
      <xdr:row>14</xdr:row>
      <xdr:rowOff>119014</xdr:rowOff>
    </xdr:to>
    <xdr:sp macro="" textlink="">
      <xdr:nvSpPr>
        <xdr:cNvPr id="40" name="Rectangle 39">
          <a:extLst>
            <a:ext uri="{FF2B5EF4-FFF2-40B4-BE49-F238E27FC236}">
              <a16:creationId xmlns:a16="http://schemas.microsoft.com/office/drawing/2014/main" id="{2505F3C2-2C09-2FD3-636A-E854415FCC59}"/>
            </a:ext>
          </a:extLst>
        </xdr:cNvPr>
        <xdr:cNvSpPr/>
      </xdr:nvSpPr>
      <xdr:spPr>
        <a:xfrm>
          <a:off x="9035101" y="2105797"/>
          <a:ext cx="2418862" cy="6040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Sales</a:t>
          </a:r>
          <a:r>
            <a:rPr lang="en-IN" sz="2000" b="1" baseline="0">
              <a:solidFill>
                <a:schemeClr val="tx1"/>
              </a:solidFill>
            </a:rPr>
            <a:t> By Months</a:t>
          </a:r>
          <a:endParaRPr lang="en-IN" sz="1000" b="1">
            <a:solidFill>
              <a:schemeClr val="tx1"/>
            </a:solidFill>
          </a:endParaRPr>
        </a:p>
      </xdr:txBody>
    </xdr:sp>
    <xdr:clientData/>
  </xdr:twoCellAnchor>
  <xdr:twoCellAnchor>
    <xdr:from>
      <xdr:col>15</xdr:col>
      <xdr:colOff>65314</xdr:colOff>
      <xdr:row>22</xdr:row>
      <xdr:rowOff>146958</xdr:rowOff>
    </xdr:from>
    <xdr:to>
      <xdr:col>22</xdr:col>
      <xdr:colOff>533400</xdr:colOff>
      <xdr:row>31</xdr:row>
      <xdr:rowOff>141515</xdr:rowOff>
    </xdr:to>
    <xdr:graphicFrame macro="">
      <xdr:nvGraphicFramePr>
        <xdr:cNvPr id="44" name="Chart 43">
          <a:extLst>
            <a:ext uri="{FF2B5EF4-FFF2-40B4-BE49-F238E27FC236}">
              <a16:creationId xmlns:a16="http://schemas.microsoft.com/office/drawing/2014/main" id="{509031DA-8E7C-4A3F-8094-5318D2743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528943</xdr:colOff>
      <xdr:row>21</xdr:row>
      <xdr:rowOff>170191</xdr:rowOff>
    </xdr:from>
    <xdr:to>
      <xdr:col>18</xdr:col>
      <xdr:colOff>509405</xdr:colOff>
      <xdr:row>25</xdr:row>
      <xdr:rowOff>31297</xdr:rowOff>
    </xdr:to>
    <xdr:sp macro="" textlink="">
      <xdr:nvSpPr>
        <xdr:cNvPr id="42" name="Rectangle 41">
          <a:extLst>
            <a:ext uri="{FF2B5EF4-FFF2-40B4-BE49-F238E27FC236}">
              <a16:creationId xmlns:a16="http://schemas.microsoft.com/office/drawing/2014/main" id="{CD02DF45-46DC-0890-3C50-9B6F03E6DBAF}"/>
            </a:ext>
          </a:extLst>
        </xdr:cNvPr>
        <xdr:cNvSpPr/>
      </xdr:nvSpPr>
      <xdr:spPr>
        <a:xfrm>
          <a:off x="9032421" y="4112713"/>
          <a:ext cx="2410027" cy="612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Sales</a:t>
          </a:r>
          <a:r>
            <a:rPr lang="en-IN" sz="2000" b="1" baseline="0">
              <a:solidFill>
                <a:sysClr val="windowText" lastClr="000000"/>
              </a:solidFill>
            </a:rPr>
            <a:t> By Places</a:t>
          </a:r>
          <a:endParaRPr lang="en-IN" sz="1000" b="1">
            <a:solidFill>
              <a:sysClr val="windowText" lastClr="000000"/>
            </a:solidFill>
          </a:endParaRPr>
        </a:p>
      </xdr:txBody>
    </xdr:sp>
    <xdr:clientData/>
  </xdr:twoCellAnchor>
  <xdr:twoCellAnchor>
    <xdr:from>
      <xdr:col>10</xdr:col>
      <xdr:colOff>217598</xdr:colOff>
      <xdr:row>18</xdr:row>
      <xdr:rowOff>28035</xdr:rowOff>
    </xdr:from>
    <xdr:to>
      <xdr:col>14</xdr:col>
      <xdr:colOff>198059</xdr:colOff>
      <xdr:row>21</xdr:row>
      <xdr:rowOff>76880</xdr:rowOff>
    </xdr:to>
    <xdr:sp macro="" textlink="'Pivot Tables'!D68">
      <xdr:nvSpPr>
        <xdr:cNvPr id="47" name="Rectangle 46">
          <a:extLst>
            <a:ext uri="{FF2B5EF4-FFF2-40B4-BE49-F238E27FC236}">
              <a16:creationId xmlns:a16="http://schemas.microsoft.com/office/drawing/2014/main" id="{462CEC8B-2303-2006-9CAB-06546871EB3B}"/>
            </a:ext>
          </a:extLst>
        </xdr:cNvPr>
        <xdr:cNvSpPr/>
      </xdr:nvSpPr>
      <xdr:spPr>
        <a:xfrm>
          <a:off x="6291511" y="3407339"/>
          <a:ext cx="2410026" cy="6120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773F6D-FC6B-49F5-81F8-4E63D2A72B73}" type="TxLink">
            <a:rPr lang="en-US" sz="2400" b="1" i="0" u="none" strike="noStrike">
              <a:solidFill>
                <a:srgbClr val="000000"/>
              </a:solidFill>
              <a:latin typeface="Aptos Narrow"/>
            </a:rPr>
            <a:t> 278 </a:t>
          </a:fld>
          <a:endParaRPr lang="en-IN" sz="1050" b="1">
            <a:solidFill>
              <a:sysClr val="windowText" lastClr="000000"/>
            </a:solidFill>
          </a:endParaRPr>
        </a:p>
      </xdr:txBody>
    </xdr:sp>
    <xdr:clientData/>
  </xdr:twoCellAnchor>
  <xdr:twoCellAnchor>
    <xdr:from>
      <xdr:col>5</xdr:col>
      <xdr:colOff>209826</xdr:colOff>
      <xdr:row>17</xdr:row>
      <xdr:rowOff>185191</xdr:rowOff>
    </xdr:from>
    <xdr:to>
      <xdr:col>9</xdr:col>
      <xdr:colOff>266318</xdr:colOff>
      <xdr:row>21</xdr:row>
      <xdr:rowOff>46297</xdr:rowOff>
    </xdr:to>
    <xdr:sp macro="" textlink="'Pivot Tables'!D62">
      <xdr:nvSpPr>
        <xdr:cNvPr id="49" name="Rectangle 48">
          <a:extLst>
            <a:ext uri="{FF2B5EF4-FFF2-40B4-BE49-F238E27FC236}">
              <a16:creationId xmlns:a16="http://schemas.microsoft.com/office/drawing/2014/main" id="{59E381A5-6F37-F9F3-783B-7D7D2F026BF3}"/>
            </a:ext>
          </a:extLst>
        </xdr:cNvPr>
        <xdr:cNvSpPr/>
      </xdr:nvSpPr>
      <xdr:spPr>
        <a:xfrm>
          <a:off x="3246783" y="3376756"/>
          <a:ext cx="2486057" cy="61206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5DADDD-F397-4E1C-8FB9-09F4F846B564}" type="TxLink">
            <a:rPr lang="en-US" sz="2000" b="1" i="0" u="none" strike="noStrike">
              <a:solidFill>
                <a:srgbClr val="000000"/>
              </a:solidFill>
              <a:latin typeface="Aptos Narrow"/>
            </a:rPr>
            <a:t> 11,87,31,893 </a:t>
          </a:fld>
          <a:endParaRPr lang="en-IN" sz="1600" b="1">
            <a:solidFill>
              <a:sysClr val="windowText" lastClr="000000"/>
            </a:solidFill>
          </a:endParaRPr>
        </a:p>
      </xdr:txBody>
    </xdr:sp>
    <xdr:clientData/>
  </xdr:twoCellAnchor>
  <xdr:twoCellAnchor>
    <xdr:from>
      <xdr:col>4</xdr:col>
      <xdr:colOff>274515</xdr:colOff>
      <xdr:row>23</xdr:row>
      <xdr:rowOff>22087</xdr:rowOff>
    </xdr:from>
    <xdr:to>
      <xdr:col>14</xdr:col>
      <xdr:colOff>463826</xdr:colOff>
      <xdr:row>31</xdr:row>
      <xdr:rowOff>110434</xdr:rowOff>
    </xdr:to>
    <xdr:graphicFrame macro="">
      <xdr:nvGraphicFramePr>
        <xdr:cNvPr id="50" name="Chart 49">
          <a:extLst>
            <a:ext uri="{FF2B5EF4-FFF2-40B4-BE49-F238E27FC236}">
              <a16:creationId xmlns:a16="http://schemas.microsoft.com/office/drawing/2014/main" id="{0F3BB5B9-BCC5-4661-857A-54FD9780F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397565</xdr:colOff>
      <xdr:row>22</xdr:row>
      <xdr:rowOff>0</xdr:rowOff>
    </xdr:from>
    <xdr:to>
      <xdr:col>8</xdr:col>
      <xdr:colOff>110435</xdr:colOff>
      <xdr:row>25</xdr:row>
      <xdr:rowOff>33131</xdr:rowOff>
    </xdr:to>
    <xdr:sp macro="" textlink="">
      <xdr:nvSpPr>
        <xdr:cNvPr id="46" name="Rectangle: Rounded Corners 45">
          <a:extLst>
            <a:ext uri="{FF2B5EF4-FFF2-40B4-BE49-F238E27FC236}">
              <a16:creationId xmlns:a16="http://schemas.microsoft.com/office/drawing/2014/main" id="{CA8363AC-A57C-6B18-0FF1-BB9775EA0BA8}"/>
            </a:ext>
          </a:extLst>
        </xdr:cNvPr>
        <xdr:cNvSpPr/>
      </xdr:nvSpPr>
      <xdr:spPr>
        <a:xfrm>
          <a:off x="2827130" y="4130261"/>
          <a:ext cx="2142435" cy="5963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n>
                <a:noFill/>
              </a:ln>
              <a:solidFill>
                <a:schemeClr val="tx1"/>
              </a:solidFill>
            </a:rPr>
            <a:t>Sales Of Products</a:t>
          </a:r>
          <a:endParaRPr lang="en-IN" sz="1100" b="1">
            <a:ln>
              <a:noFill/>
            </a:ln>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23</xdr:col>
      <xdr:colOff>60960</xdr:colOff>
      <xdr:row>32</xdr:row>
      <xdr:rowOff>167640</xdr:rowOff>
    </xdr:to>
    <xdr:sp macro="" textlink="">
      <xdr:nvSpPr>
        <xdr:cNvPr id="2" name="Rectangle: Rounded Corners 1">
          <a:extLst>
            <a:ext uri="{FF2B5EF4-FFF2-40B4-BE49-F238E27FC236}">
              <a16:creationId xmlns:a16="http://schemas.microsoft.com/office/drawing/2014/main" id="{1A878AE7-07CB-4303-A6D3-B69237944CAB}"/>
            </a:ext>
          </a:extLst>
        </xdr:cNvPr>
        <xdr:cNvSpPr/>
      </xdr:nvSpPr>
      <xdr:spPr>
        <a:xfrm>
          <a:off x="114300" y="76200"/>
          <a:ext cx="13967460" cy="5943600"/>
        </a:xfrm>
        <a:prstGeom prst="roundRect">
          <a:avLst>
            <a:gd name="adj" fmla="val 37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167640</xdr:colOff>
      <xdr:row>0</xdr:row>
      <xdr:rowOff>114300</xdr:rowOff>
    </xdr:from>
    <xdr:to>
      <xdr:col>23</xdr:col>
      <xdr:colOff>30480</xdr:colOff>
      <xdr:row>32</xdr:row>
      <xdr:rowOff>91440</xdr:rowOff>
    </xdr:to>
    <xdr:sp macro="" textlink="">
      <xdr:nvSpPr>
        <xdr:cNvPr id="3" name="Rectangle: Rounded Corners 2">
          <a:extLst>
            <a:ext uri="{FF2B5EF4-FFF2-40B4-BE49-F238E27FC236}">
              <a16:creationId xmlns:a16="http://schemas.microsoft.com/office/drawing/2014/main" id="{013DB9BE-4FA6-44C6-88F6-2B7D7CB5F07D}"/>
            </a:ext>
          </a:extLst>
        </xdr:cNvPr>
        <xdr:cNvSpPr/>
      </xdr:nvSpPr>
      <xdr:spPr>
        <a:xfrm>
          <a:off x="2606040" y="114300"/>
          <a:ext cx="11445240" cy="5829300"/>
        </a:xfrm>
        <a:prstGeom prst="roundRect">
          <a:avLst>
            <a:gd name="adj" fmla="val 3752"/>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259080</xdr:colOff>
      <xdr:row>1</xdr:row>
      <xdr:rowOff>15240</xdr:rowOff>
    </xdr:from>
    <xdr:to>
      <xdr:col>13</xdr:col>
      <xdr:colOff>396240</xdr:colOff>
      <xdr:row>7</xdr:row>
      <xdr:rowOff>99060</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36C90DBA-6676-45B7-811B-FE0C13751A7B}"/>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2688645" y="202979"/>
              <a:ext cx="5603682" cy="1210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426720</xdr:colOff>
      <xdr:row>1</xdr:row>
      <xdr:rowOff>15240</xdr:rowOff>
    </xdr:from>
    <xdr:to>
      <xdr:col>22</xdr:col>
      <xdr:colOff>571500</xdr:colOff>
      <xdr:row>7</xdr:row>
      <xdr:rowOff>114300</xdr:rowOff>
    </xdr:to>
    <mc:AlternateContent xmlns:mc="http://schemas.openxmlformats.org/markup-compatibility/2006">
      <mc:Choice xmlns:a14="http://schemas.microsoft.com/office/drawing/2010/main" Requires="a14">
        <xdr:graphicFrame macro="">
          <xdr:nvGraphicFramePr>
            <xdr:cNvPr id="5" name="Place 2">
              <a:extLst>
                <a:ext uri="{FF2B5EF4-FFF2-40B4-BE49-F238E27FC236}">
                  <a16:creationId xmlns:a16="http://schemas.microsoft.com/office/drawing/2014/main" id="{CE956A10-55B9-4532-B428-71849C081E27}"/>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dr:sp macro="" textlink="">
          <xdr:nvSpPr>
            <xdr:cNvPr id="0" name=""/>
            <xdr:cNvSpPr>
              <a:spLocks noTextEdit="1"/>
            </xdr:cNvSpPr>
          </xdr:nvSpPr>
          <xdr:spPr>
            <a:xfrm>
              <a:off x="8322807" y="202979"/>
              <a:ext cx="5611302" cy="122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8</xdr:row>
      <xdr:rowOff>22860</xdr:rowOff>
    </xdr:from>
    <xdr:to>
      <xdr:col>22</xdr:col>
      <xdr:colOff>563880</xdr:colOff>
      <xdr:row>12</xdr:row>
      <xdr:rowOff>15239</xdr:rowOff>
    </xdr:to>
    <mc:AlternateContent xmlns:mc="http://schemas.openxmlformats.org/markup-compatibility/2006">
      <mc:Choice xmlns:a14="http://schemas.microsoft.com/office/drawing/2010/main" Requires="a14">
        <xdr:graphicFrame macro="">
          <xdr:nvGraphicFramePr>
            <xdr:cNvPr id="6" name="Products 2">
              <a:extLst>
                <a:ext uri="{FF2B5EF4-FFF2-40B4-BE49-F238E27FC236}">
                  <a16:creationId xmlns:a16="http://schemas.microsoft.com/office/drawing/2014/main" id="{D455C9CF-1A83-478F-8A4A-C1C7A09B90B9}"/>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dr:sp macro="" textlink="">
          <xdr:nvSpPr>
            <xdr:cNvPr id="0" name=""/>
            <xdr:cNvSpPr>
              <a:spLocks noTextEdit="1"/>
            </xdr:cNvSpPr>
          </xdr:nvSpPr>
          <xdr:spPr>
            <a:xfrm>
              <a:off x="2696265" y="1524773"/>
              <a:ext cx="11230224" cy="743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12</xdr:row>
      <xdr:rowOff>55489</xdr:rowOff>
    </xdr:from>
    <xdr:to>
      <xdr:col>5</xdr:col>
      <xdr:colOff>312420</xdr:colOff>
      <xdr:row>16</xdr:row>
      <xdr:rowOff>85970</xdr:rowOff>
    </xdr:to>
    <xdr:pic>
      <xdr:nvPicPr>
        <xdr:cNvPr id="7" name="Graphic 6" descr="Bar chart with solid fill">
          <a:extLst>
            <a:ext uri="{FF2B5EF4-FFF2-40B4-BE49-F238E27FC236}">
              <a16:creationId xmlns:a16="http://schemas.microsoft.com/office/drawing/2014/main" id="{758236A0-66B6-4DB5-8553-B5662B3182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8420" y="2250049"/>
          <a:ext cx="762000" cy="762001"/>
        </a:xfrm>
        <a:prstGeom prst="rect">
          <a:avLst/>
        </a:prstGeom>
      </xdr:spPr>
    </xdr:pic>
    <xdr:clientData/>
  </xdr:twoCellAnchor>
  <xdr:twoCellAnchor>
    <xdr:from>
      <xdr:col>5</xdr:col>
      <xdr:colOff>237783</xdr:colOff>
      <xdr:row>12</xdr:row>
      <xdr:rowOff>144389</xdr:rowOff>
    </xdr:from>
    <xdr:to>
      <xdr:col>9</xdr:col>
      <xdr:colOff>176823</xdr:colOff>
      <xdr:row>15</xdr:row>
      <xdr:rowOff>136770</xdr:rowOff>
    </xdr:to>
    <xdr:sp macro="" textlink="">
      <xdr:nvSpPr>
        <xdr:cNvPr id="8" name="Rectangle 7">
          <a:extLst>
            <a:ext uri="{FF2B5EF4-FFF2-40B4-BE49-F238E27FC236}">
              <a16:creationId xmlns:a16="http://schemas.microsoft.com/office/drawing/2014/main" id="{4892FC71-472A-4969-9D5C-A7D49E8E94FA}"/>
            </a:ext>
          </a:extLst>
        </xdr:cNvPr>
        <xdr:cNvSpPr/>
      </xdr:nvSpPr>
      <xdr:spPr>
        <a:xfrm>
          <a:off x="3285783" y="2338949"/>
          <a:ext cx="2377440" cy="5410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xdr:from>
      <xdr:col>4</xdr:col>
      <xdr:colOff>274515</xdr:colOff>
      <xdr:row>16</xdr:row>
      <xdr:rowOff>44174</xdr:rowOff>
    </xdr:from>
    <xdr:to>
      <xdr:col>14</xdr:col>
      <xdr:colOff>586154</xdr:colOff>
      <xdr:row>31</xdr:row>
      <xdr:rowOff>185614</xdr:rowOff>
    </xdr:to>
    <xdr:sp macro="" textlink="">
      <xdr:nvSpPr>
        <xdr:cNvPr id="13" name="Rectangle 12">
          <a:extLst>
            <a:ext uri="{FF2B5EF4-FFF2-40B4-BE49-F238E27FC236}">
              <a16:creationId xmlns:a16="http://schemas.microsoft.com/office/drawing/2014/main" id="{A90E9A36-8B8B-4327-BE91-42301307461A}"/>
            </a:ext>
          </a:extLst>
        </xdr:cNvPr>
        <xdr:cNvSpPr/>
      </xdr:nvSpPr>
      <xdr:spPr>
        <a:xfrm>
          <a:off x="2704080" y="3048000"/>
          <a:ext cx="6385552" cy="2957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15</xdr:col>
      <xdr:colOff>56271</xdr:colOff>
      <xdr:row>12</xdr:row>
      <xdr:rowOff>65453</xdr:rowOff>
    </xdr:from>
    <xdr:to>
      <xdr:col>22</xdr:col>
      <xdr:colOff>556846</xdr:colOff>
      <xdr:row>22</xdr:row>
      <xdr:rowOff>55683</xdr:rowOff>
    </xdr:to>
    <xdr:sp macro="" textlink="">
      <xdr:nvSpPr>
        <xdr:cNvPr id="14" name="Rectangle 13">
          <a:extLst>
            <a:ext uri="{FF2B5EF4-FFF2-40B4-BE49-F238E27FC236}">
              <a16:creationId xmlns:a16="http://schemas.microsoft.com/office/drawing/2014/main" id="{CC290317-A5A0-46AD-88E1-574A395172AE}"/>
            </a:ext>
          </a:extLst>
        </xdr:cNvPr>
        <xdr:cNvSpPr/>
      </xdr:nvSpPr>
      <xdr:spPr>
        <a:xfrm>
          <a:off x="9167141" y="2318323"/>
          <a:ext cx="4752314" cy="18676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66040</xdr:colOff>
      <xdr:row>22</xdr:row>
      <xdr:rowOff>94763</xdr:rowOff>
    </xdr:from>
    <xdr:to>
      <xdr:col>22</xdr:col>
      <xdr:colOff>566615</xdr:colOff>
      <xdr:row>32</xdr:row>
      <xdr:rowOff>1</xdr:rowOff>
    </xdr:to>
    <xdr:sp macro="" textlink="">
      <xdr:nvSpPr>
        <xdr:cNvPr id="15" name="Rectangle 14">
          <a:extLst>
            <a:ext uri="{FF2B5EF4-FFF2-40B4-BE49-F238E27FC236}">
              <a16:creationId xmlns:a16="http://schemas.microsoft.com/office/drawing/2014/main" id="{FD00EA1A-70D9-45DD-BE5E-068806841C8E}"/>
            </a:ext>
          </a:extLst>
        </xdr:cNvPr>
        <xdr:cNvSpPr/>
      </xdr:nvSpPr>
      <xdr:spPr>
        <a:xfrm>
          <a:off x="9210040" y="4118123"/>
          <a:ext cx="4767775" cy="17340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224693</xdr:colOff>
      <xdr:row>11</xdr:row>
      <xdr:rowOff>9770</xdr:rowOff>
    </xdr:from>
    <xdr:to>
      <xdr:col>4</xdr:col>
      <xdr:colOff>58617</xdr:colOff>
      <xdr:row>15</xdr:row>
      <xdr:rowOff>87923</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D8D462E4-BDBE-45DF-9A46-B54EC0E6C8D6}"/>
            </a:ext>
          </a:extLst>
        </xdr:cNvPr>
        <xdr:cNvSpPr/>
      </xdr:nvSpPr>
      <xdr:spPr>
        <a:xfrm>
          <a:off x="224693" y="2021450"/>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DASHBOARD</a:t>
          </a:r>
        </a:p>
      </xdr:txBody>
    </xdr:sp>
    <xdr:clientData/>
  </xdr:twoCellAnchor>
  <xdr:twoCellAnchor>
    <xdr:from>
      <xdr:col>0</xdr:col>
      <xdr:colOff>202223</xdr:colOff>
      <xdr:row>16</xdr:row>
      <xdr:rowOff>27354</xdr:rowOff>
    </xdr:from>
    <xdr:to>
      <xdr:col>4</xdr:col>
      <xdr:colOff>36147</xdr:colOff>
      <xdr:row>20</xdr:row>
      <xdr:rowOff>105507</xdr:rowOff>
    </xdr:to>
    <xdr:sp macro="" textlink="">
      <xdr:nvSpPr>
        <xdr:cNvPr id="17" name="Rectangle: Rounded Corners 16">
          <a:extLst>
            <a:ext uri="{FF2B5EF4-FFF2-40B4-BE49-F238E27FC236}">
              <a16:creationId xmlns:a16="http://schemas.microsoft.com/office/drawing/2014/main" id="{B66FA225-82FD-4AC2-BA3F-32FCEE25372A}"/>
            </a:ext>
          </a:extLst>
        </xdr:cNvPr>
        <xdr:cNvSpPr/>
      </xdr:nvSpPr>
      <xdr:spPr>
        <a:xfrm>
          <a:off x="202223" y="2953434"/>
          <a:ext cx="2272324" cy="809673"/>
        </a:xfrm>
        <a:prstGeom prst="roundRect">
          <a:avLst>
            <a:gd name="adj" fmla="val 30952"/>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PRODUCTS</a:t>
          </a:r>
        </a:p>
      </xdr:txBody>
    </xdr:sp>
    <xdr:clientData/>
  </xdr:twoCellAnchor>
  <xdr:twoCellAnchor>
    <xdr:from>
      <xdr:col>0</xdr:col>
      <xdr:colOff>182685</xdr:colOff>
      <xdr:row>21</xdr:row>
      <xdr:rowOff>76200</xdr:rowOff>
    </xdr:from>
    <xdr:to>
      <xdr:col>4</xdr:col>
      <xdr:colOff>16609</xdr:colOff>
      <xdr:row>25</xdr:row>
      <xdr:rowOff>154353</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8AC6C4CB-926C-4780-B9FF-8BE594C72E5B}"/>
            </a:ext>
          </a:extLst>
        </xdr:cNvPr>
        <xdr:cNvSpPr/>
      </xdr:nvSpPr>
      <xdr:spPr>
        <a:xfrm>
          <a:off x="182685" y="3916680"/>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SALESMAN</a:t>
          </a:r>
        </a:p>
      </xdr:txBody>
    </xdr:sp>
    <xdr:clientData/>
  </xdr:twoCellAnchor>
  <xdr:twoCellAnchor>
    <xdr:from>
      <xdr:col>0</xdr:col>
      <xdr:colOff>182686</xdr:colOff>
      <xdr:row>26</xdr:row>
      <xdr:rowOff>144584</xdr:rowOff>
    </xdr:from>
    <xdr:to>
      <xdr:col>4</xdr:col>
      <xdr:colOff>16610</xdr:colOff>
      <xdr:row>31</xdr:row>
      <xdr:rowOff>37122</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F536AA9C-CFEA-4634-B612-4B9433285257}"/>
            </a:ext>
          </a:extLst>
        </xdr:cNvPr>
        <xdr:cNvSpPr/>
      </xdr:nvSpPr>
      <xdr:spPr>
        <a:xfrm>
          <a:off x="182686" y="4899464"/>
          <a:ext cx="2272324" cy="806938"/>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ABOUT</a:t>
          </a:r>
        </a:p>
      </xdr:txBody>
    </xdr:sp>
    <xdr:clientData/>
  </xdr:twoCellAnchor>
  <xdr:twoCellAnchor>
    <xdr:from>
      <xdr:col>5</xdr:col>
      <xdr:colOff>263770</xdr:colOff>
      <xdr:row>16</xdr:row>
      <xdr:rowOff>19538</xdr:rowOff>
    </xdr:from>
    <xdr:to>
      <xdr:col>9</xdr:col>
      <xdr:colOff>244231</xdr:colOff>
      <xdr:row>19</xdr:row>
      <xdr:rowOff>68384</xdr:rowOff>
    </xdr:to>
    <xdr:sp macro="" textlink="">
      <xdr:nvSpPr>
        <xdr:cNvPr id="20" name="Rectangle 19">
          <a:extLst>
            <a:ext uri="{FF2B5EF4-FFF2-40B4-BE49-F238E27FC236}">
              <a16:creationId xmlns:a16="http://schemas.microsoft.com/office/drawing/2014/main" id="{AC147E58-9143-408B-822B-A745942FFDB5}"/>
            </a:ext>
          </a:extLst>
        </xdr:cNvPr>
        <xdr:cNvSpPr/>
      </xdr:nvSpPr>
      <xdr:spPr>
        <a:xfrm>
          <a:off x="3311770" y="294561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3">
                <a:lumMod val="60000"/>
                <a:lumOff val="40000"/>
              </a:schemeClr>
            </a:solidFill>
          </a:endParaRPr>
        </a:p>
      </xdr:txBody>
    </xdr:sp>
    <xdr:clientData/>
  </xdr:twoCellAnchor>
  <xdr:twoCellAnchor>
    <xdr:from>
      <xdr:col>10</xdr:col>
      <xdr:colOff>372207</xdr:colOff>
      <xdr:row>16</xdr:row>
      <xdr:rowOff>39078</xdr:rowOff>
    </xdr:from>
    <xdr:to>
      <xdr:col>14</xdr:col>
      <xdr:colOff>352668</xdr:colOff>
      <xdr:row>19</xdr:row>
      <xdr:rowOff>87924</xdr:rowOff>
    </xdr:to>
    <xdr:sp macro="" textlink="">
      <xdr:nvSpPr>
        <xdr:cNvPr id="21" name="Rectangle 20">
          <a:extLst>
            <a:ext uri="{FF2B5EF4-FFF2-40B4-BE49-F238E27FC236}">
              <a16:creationId xmlns:a16="http://schemas.microsoft.com/office/drawing/2014/main" id="{D32A426C-729A-48C2-A191-449E49F5E5F1}"/>
            </a:ext>
          </a:extLst>
        </xdr:cNvPr>
        <xdr:cNvSpPr/>
      </xdr:nvSpPr>
      <xdr:spPr>
        <a:xfrm>
          <a:off x="6468207" y="296515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2">
                <a:lumMod val="75000"/>
              </a:schemeClr>
            </a:solidFill>
          </a:endParaRPr>
        </a:p>
      </xdr:txBody>
    </xdr:sp>
    <xdr:clientData/>
  </xdr:twoCellAnchor>
  <xdr:twoCellAnchor>
    <xdr:from>
      <xdr:col>15</xdr:col>
      <xdr:colOff>155662</xdr:colOff>
      <xdr:row>14</xdr:row>
      <xdr:rowOff>22087</xdr:rowOff>
    </xdr:from>
    <xdr:to>
      <xdr:col>22</xdr:col>
      <xdr:colOff>475923</xdr:colOff>
      <xdr:row>21</xdr:row>
      <xdr:rowOff>154608</xdr:rowOff>
    </xdr:to>
    <xdr:graphicFrame macro="">
      <xdr:nvGraphicFramePr>
        <xdr:cNvPr id="32" name="Chart 31">
          <a:extLst>
            <a:ext uri="{FF2B5EF4-FFF2-40B4-BE49-F238E27FC236}">
              <a16:creationId xmlns:a16="http://schemas.microsoft.com/office/drawing/2014/main" id="{AE2DD9BB-932A-4CC7-B802-2267AAEEE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279832</xdr:colOff>
      <xdr:row>11</xdr:row>
      <xdr:rowOff>158516</xdr:rowOff>
    </xdr:from>
    <xdr:to>
      <xdr:col>20</xdr:col>
      <xdr:colOff>121479</xdr:colOff>
      <xdr:row>15</xdr:row>
      <xdr:rowOff>19623</xdr:rowOff>
    </xdr:to>
    <xdr:sp macro="" textlink="">
      <xdr:nvSpPr>
        <xdr:cNvPr id="25" name="Rectangle 24">
          <a:extLst>
            <a:ext uri="{FF2B5EF4-FFF2-40B4-BE49-F238E27FC236}">
              <a16:creationId xmlns:a16="http://schemas.microsoft.com/office/drawing/2014/main" id="{81A72C7E-8ECB-4CD3-81EE-641ECB542486}"/>
            </a:ext>
          </a:extLst>
        </xdr:cNvPr>
        <xdr:cNvSpPr/>
      </xdr:nvSpPr>
      <xdr:spPr>
        <a:xfrm>
          <a:off x="8783310" y="2223646"/>
          <a:ext cx="3485995" cy="61206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Top 3 Selling</a:t>
          </a:r>
          <a:r>
            <a:rPr lang="en-IN" sz="2000" b="1" baseline="0">
              <a:solidFill>
                <a:schemeClr val="tx1"/>
              </a:solidFill>
            </a:rPr>
            <a:t> Products</a:t>
          </a:r>
          <a:endParaRPr lang="en-IN" sz="1000" b="1">
            <a:solidFill>
              <a:schemeClr val="tx1"/>
            </a:solidFill>
          </a:endParaRPr>
        </a:p>
      </xdr:txBody>
    </xdr:sp>
    <xdr:clientData/>
  </xdr:twoCellAnchor>
  <xdr:twoCellAnchor>
    <xdr:from>
      <xdr:col>15</xdr:col>
      <xdr:colOff>99169</xdr:colOff>
      <xdr:row>23</xdr:row>
      <xdr:rowOff>143565</xdr:rowOff>
    </xdr:from>
    <xdr:to>
      <xdr:col>22</xdr:col>
      <xdr:colOff>419652</xdr:colOff>
      <xdr:row>31</xdr:row>
      <xdr:rowOff>55217</xdr:rowOff>
    </xdr:to>
    <xdr:graphicFrame macro="">
      <xdr:nvGraphicFramePr>
        <xdr:cNvPr id="33" name="Chart 32">
          <a:extLst>
            <a:ext uri="{FF2B5EF4-FFF2-40B4-BE49-F238E27FC236}">
              <a16:creationId xmlns:a16="http://schemas.microsoft.com/office/drawing/2014/main" id="{5EF6F008-E02B-4D4F-B7E8-F0BFA7AA7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528943</xdr:colOff>
      <xdr:row>21</xdr:row>
      <xdr:rowOff>170191</xdr:rowOff>
    </xdr:from>
    <xdr:to>
      <xdr:col>20</xdr:col>
      <xdr:colOff>99391</xdr:colOff>
      <xdr:row>25</xdr:row>
      <xdr:rowOff>31297</xdr:rowOff>
    </xdr:to>
    <xdr:sp macro="" textlink="">
      <xdr:nvSpPr>
        <xdr:cNvPr id="27" name="Rectangle 26">
          <a:extLst>
            <a:ext uri="{FF2B5EF4-FFF2-40B4-BE49-F238E27FC236}">
              <a16:creationId xmlns:a16="http://schemas.microsoft.com/office/drawing/2014/main" id="{0CDDA521-A643-43F1-890F-902CA3C40864}"/>
            </a:ext>
          </a:extLst>
        </xdr:cNvPr>
        <xdr:cNvSpPr/>
      </xdr:nvSpPr>
      <xdr:spPr>
        <a:xfrm>
          <a:off x="9032421" y="4112713"/>
          <a:ext cx="3214796" cy="6120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Botto</a:t>
          </a:r>
          <a:r>
            <a:rPr lang="en-IN" sz="2000" b="1" baseline="0">
              <a:solidFill>
                <a:sysClr val="windowText" lastClr="000000"/>
              </a:solidFill>
            </a:rPr>
            <a:t>m 3 Selling Products</a:t>
          </a:r>
          <a:endParaRPr lang="en-IN" sz="1000" b="1">
            <a:solidFill>
              <a:sysClr val="windowText" lastClr="000000"/>
            </a:solidFill>
          </a:endParaRPr>
        </a:p>
      </xdr:txBody>
    </xdr:sp>
    <xdr:clientData/>
  </xdr:twoCellAnchor>
  <xdr:twoCellAnchor>
    <xdr:from>
      <xdr:col>4</xdr:col>
      <xdr:colOff>563219</xdr:colOff>
      <xdr:row>17</xdr:row>
      <xdr:rowOff>165651</xdr:rowOff>
    </xdr:from>
    <xdr:to>
      <xdr:col>14</xdr:col>
      <xdr:colOff>353392</xdr:colOff>
      <xdr:row>31</xdr:row>
      <xdr:rowOff>22086</xdr:rowOff>
    </xdr:to>
    <xdr:graphicFrame macro="">
      <xdr:nvGraphicFramePr>
        <xdr:cNvPr id="34" name="Chart 33">
          <a:extLst>
            <a:ext uri="{FF2B5EF4-FFF2-40B4-BE49-F238E27FC236}">
              <a16:creationId xmlns:a16="http://schemas.microsoft.com/office/drawing/2014/main" id="{B4900130-552E-4470-859C-CE18D5A8E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353391</xdr:colOff>
      <xdr:row>16</xdr:row>
      <xdr:rowOff>1</xdr:rowOff>
    </xdr:from>
    <xdr:to>
      <xdr:col>9</xdr:col>
      <xdr:colOff>530087</xdr:colOff>
      <xdr:row>19</xdr:row>
      <xdr:rowOff>33132</xdr:rowOff>
    </xdr:to>
    <xdr:sp macro="" textlink="">
      <xdr:nvSpPr>
        <xdr:cNvPr id="31" name="Rectangle: Rounded Corners 30">
          <a:extLst>
            <a:ext uri="{FF2B5EF4-FFF2-40B4-BE49-F238E27FC236}">
              <a16:creationId xmlns:a16="http://schemas.microsoft.com/office/drawing/2014/main" id="{600CB868-6369-4034-B163-526BCE57286B}"/>
            </a:ext>
          </a:extLst>
        </xdr:cNvPr>
        <xdr:cNvSpPr/>
      </xdr:nvSpPr>
      <xdr:spPr>
        <a:xfrm>
          <a:off x="2782956" y="3003827"/>
          <a:ext cx="3213653" cy="5963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ln>
                <a:noFill/>
              </a:ln>
              <a:solidFill>
                <a:schemeClr val="tx1"/>
              </a:solidFill>
            </a:rPr>
            <a:t>Sales Of Products By Qty</a:t>
          </a:r>
          <a:endParaRPr lang="en-IN" sz="1200" b="1">
            <a:ln>
              <a:noFill/>
            </a:ln>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23</xdr:col>
      <xdr:colOff>60960</xdr:colOff>
      <xdr:row>32</xdr:row>
      <xdr:rowOff>167640</xdr:rowOff>
    </xdr:to>
    <xdr:sp macro="" textlink="">
      <xdr:nvSpPr>
        <xdr:cNvPr id="2" name="Rectangle: Rounded Corners 1">
          <a:extLst>
            <a:ext uri="{FF2B5EF4-FFF2-40B4-BE49-F238E27FC236}">
              <a16:creationId xmlns:a16="http://schemas.microsoft.com/office/drawing/2014/main" id="{1D833233-FC19-4262-8E46-330828DF7A91}"/>
            </a:ext>
          </a:extLst>
        </xdr:cNvPr>
        <xdr:cNvSpPr/>
      </xdr:nvSpPr>
      <xdr:spPr>
        <a:xfrm>
          <a:off x="114300" y="76200"/>
          <a:ext cx="13967460" cy="5943600"/>
        </a:xfrm>
        <a:prstGeom prst="roundRect">
          <a:avLst>
            <a:gd name="adj" fmla="val 37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167640</xdr:colOff>
      <xdr:row>0</xdr:row>
      <xdr:rowOff>114300</xdr:rowOff>
    </xdr:from>
    <xdr:to>
      <xdr:col>23</xdr:col>
      <xdr:colOff>30480</xdr:colOff>
      <xdr:row>32</xdr:row>
      <xdr:rowOff>91440</xdr:rowOff>
    </xdr:to>
    <xdr:sp macro="" textlink="">
      <xdr:nvSpPr>
        <xdr:cNvPr id="3" name="Rectangle: Rounded Corners 2">
          <a:extLst>
            <a:ext uri="{FF2B5EF4-FFF2-40B4-BE49-F238E27FC236}">
              <a16:creationId xmlns:a16="http://schemas.microsoft.com/office/drawing/2014/main" id="{D1684854-16D8-4BED-B179-0C8083C96571}"/>
            </a:ext>
          </a:extLst>
        </xdr:cNvPr>
        <xdr:cNvSpPr/>
      </xdr:nvSpPr>
      <xdr:spPr>
        <a:xfrm>
          <a:off x="2606040" y="114300"/>
          <a:ext cx="11445240" cy="5829300"/>
        </a:xfrm>
        <a:prstGeom prst="roundRect">
          <a:avLst>
            <a:gd name="adj" fmla="val 3752"/>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259080</xdr:colOff>
      <xdr:row>1</xdr:row>
      <xdr:rowOff>15240</xdr:rowOff>
    </xdr:from>
    <xdr:to>
      <xdr:col>13</xdr:col>
      <xdr:colOff>396240</xdr:colOff>
      <xdr:row>7</xdr:row>
      <xdr:rowOff>99060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0BEA7430-C4A7-4772-A5EA-9814E0E7594F}"/>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2688645" y="202979"/>
              <a:ext cx="5603682" cy="1210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426720</xdr:colOff>
      <xdr:row>1</xdr:row>
      <xdr:rowOff>15240</xdr:rowOff>
    </xdr:from>
    <xdr:to>
      <xdr:col>22</xdr:col>
      <xdr:colOff>571500</xdr:colOff>
      <xdr:row>7</xdr:row>
      <xdr:rowOff>114300</xdr:rowOff>
    </xdr:to>
    <mc:AlternateContent xmlns:mc="http://schemas.openxmlformats.org/markup-compatibility/2006">
      <mc:Choice xmlns:a14="http://schemas.microsoft.com/office/drawing/2010/main" Requires="a14">
        <xdr:graphicFrame macro="">
          <xdr:nvGraphicFramePr>
            <xdr:cNvPr id="5" name="Place 3">
              <a:extLst>
                <a:ext uri="{FF2B5EF4-FFF2-40B4-BE49-F238E27FC236}">
                  <a16:creationId xmlns:a16="http://schemas.microsoft.com/office/drawing/2014/main" id="{4593AFF3-4292-4A59-88E1-9F8458F8BEEE}"/>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dr:sp macro="" textlink="">
          <xdr:nvSpPr>
            <xdr:cNvPr id="0" name=""/>
            <xdr:cNvSpPr>
              <a:spLocks noTextEdit="1"/>
            </xdr:cNvSpPr>
          </xdr:nvSpPr>
          <xdr:spPr>
            <a:xfrm>
              <a:off x="8322807" y="202979"/>
              <a:ext cx="5611302" cy="122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8</xdr:row>
      <xdr:rowOff>22860</xdr:rowOff>
    </xdr:from>
    <xdr:to>
      <xdr:col>22</xdr:col>
      <xdr:colOff>563880</xdr:colOff>
      <xdr:row>12</xdr:row>
      <xdr:rowOff>15239</xdr:rowOff>
    </xdr:to>
    <mc:AlternateContent xmlns:mc="http://schemas.openxmlformats.org/markup-compatibility/2006">
      <mc:Choice xmlns:a14="http://schemas.microsoft.com/office/drawing/2010/main" Requires="a14">
        <xdr:graphicFrame macro="">
          <xdr:nvGraphicFramePr>
            <xdr:cNvPr id="6" name="Products 3">
              <a:extLst>
                <a:ext uri="{FF2B5EF4-FFF2-40B4-BE49-F238E27FC236}">
                  <a16:creationId xmlns:a16="http://schemas.microsoft.com/office/drawing/2014/main" id="{40BA9B80-F54E-44D6-BEBF-8BE394D0DE15}"/>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dr:sp macro="" textlink="">
          <xdr:nvSpPr>
            <xdr:cNvPr id="0" name=""/>
            <xdr:cNvSpPr>
              <a:spLocks noTextEdit="1"/>
            </xdr:cNvSpPr>
          </xdr:nvSpPr>
          <xdr:spPr>
            <a:xfrm>
              <a:off x="2696265" y="1524773"/>
              <a:ext cx="11230224" cy="743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160020</xdr:colOff>
      <xdr:row>12</xdr:row>
      <xdr:rowOff>55489</xdr:rowOff>
    </xdr:from>
    <xdr:to>
      <xdr:col>5</xdr:col>
      <xdr:colOff>312420</xdr:colOff>
      <xdr:row>16</xdr:row>
      <xdr:rowOff>85970</xdr:rowOff>
    </xdr:to>
    <xdr:pic>
      <xdr:nvPicPr>
        <xdr:cNvPr id="7" name="Graphic 6" descr="Bar chart with solid fill">
          <a:extLst>
            <a:ext uri="{FF2B5EF4-FFF2-40B4-BE49-F238E27FC236}">
              <a16:creationId xmlns:a16="http://schemas.microsoft.com/office/drawing/2014/main" id="{3EE571C2-02E4-40A9-8BBD-037D3DA3A2A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98420" y="2250049"/>
          <a:ext cx="762000" cy="762001"/>
        </a:xfrm>
        <a:prstGeom prst="rect">
          <a:avLst/>
        </a:prstGeom>
      </xdr:spPr>
    </xdr:pic>
    <xdr:clientData/>
  </xdr:twoCellAnchor>
  <xdr:twoCellAnchor>
    <xdr:from>
      <xdr:col>5</xdr:col>
      <xdr:colOff>237783</xdr:colOff>
      <xdr:row>12</xdr:row>
      <xdr:rowOff>144389</xdr:rowOff>
    </xdr:from>
    <xdr:to>
      <xdr:col>9</xdr:col>
      <xdr:colOff>176823</xdr:colOff>
      <xdr:row>15</xdr:row>
      <xdr:rowOff>136770</xdr:rowOff>
    </xdr:to>
    <xdr:sp macro="" textlink="">
      <xdr:nvSpPr>
        <xdr:cNvPr id="8" name="Rectangle 7">
          <a:extLst>
            <a:ext uri="{FF2B5EF4-FFF2-40B4-BE49-F238E27FC236}">
              <a16:creationId xmlns:a16="http://schemas.microsoft.com/office/drawing/2014/main" id="{6B1A636B-FFBC-44DD-BD30-B5C8FEA38BBE}"/>
            </a:ext>
          </a:extLst>
        </xdr:cNvPr>
        <xdr:cNvSpPr/>
      </xdr:nvSpPr>
      <xdr:spPr>
        <a:xfrm>
          <a:off x="3285783" y="2338949"/>
          <a:ext cx="2377440" cy="5410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1">
                  <a:lumMod val="75000"/>
                </a:schemeClr>
              </a:solidFill>
            </a:rPr>
            <a:t>Analytics</a:t>
          </a:r>
          <a:endParaRPr lang="en-IN" sz="1100" b="1">
            <a:solidFill>
              <a:schemeClr val="accent1">
                <a:lumMod val="75000"/>
              </a:schemeClr>
            </a:solidFill>
          </a:endParaRPr>
        </a:p>
      </xdr:txBody>
    </xdr:sp>
    <xdr:clientData/>
  </xdr:twoCellAnchor>
  <xdr:twoCellAnchor>
    <xdr:from>
      <xdr:col>4</xdr:col>
      <xdr:colOff>274515</xdr:colOff>
      <xdr:row>16</xdr:row>
      <xdr:rowOff>44174</xdr:rowOff>
    </xdr:from>
    <xdr:to>
      <xdr:col>14</xdr:col>
      <xdr:colOff>586154</xdr:colOff>
      <xdr:row>31</xdr:row>
      <xdr:rowOff>185614</xdr:rowOff>
    </xdr:to>
    <xdr:sp macro="" textlink="">
      <xdr:nvSpPr>
        <xdr:cNvPr id="9" name="Rectangle 8">
          <a:extLst>
            <a:ext uri="{FF2B5EF4-FFF2-40B4-BE49-F238E27FC236}">
              <a16:creationId xmlns:a16="http://schemas.microsoft.com/office/drawing/2014/main" id="{20144F38-35A8-456B-B52A-E3CD4A2059B1}"/>
            </a:ext>
          </a:extLst>
        </xdr:cNvPr>
        <xdr:cNvSpPr/>
      </xdr:nvSpPr>
      <xdr:spPr>
        <a:xfrm>
          <a:off x="2712915" y="2970254"/>
          <a:ext cx="6407639" cy="28846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15</xdr:col>
      <xdr:colOff>56271</xdr:colOff>
      <xdr:row>12</xdr:row>
      <xdr:rowOff>65453</xdr:rowOff>
    </xdr:from>
    <xdr:to>
      <xdr:col>22</xdr:col>
      <xdr:colOff>556846</xdr:colOff>
      <xdr:row>22</xdr:row>
      <xdr:rowOff>55683</xdr:rowOff>
    </xdr:to>
    <xdr:sp macro="" textlink="">
      <xdr:nvSpPr>
        <xdr:cNvPr id="10" name="Rectangle 9">
          <a:extLst>
            <a:ext uri="{FF2B5EF4-FFF2-40B4-BE49-F238E27FC236}">
              <a16:creationId xmlns:a16="http://schemas.microsoft.com/office/drawing/2014/main" id="{C9832B85-E08E-4DCA-8852-99C7C8C9D6A5}"/>
            </a:ext>
          </a:extLst>
        </xdr:cNvPr>
        <xdr:cNvSpPr/>
      </xdr:nvSpPr>
      <xdr:spPr>
        <a:xfrm>
          <a:off x="9200271" y="2260013"/>
          <a:ext cx="4767775" cy="181903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66040</xdr:colOff>
      <xdr:row>22</xdr:row>
      <xdr:rowOff>94763</xdr:rowOff>
    </xdr:from>
    <xdr:to>
      <xdr:col>22</xdr:col>
      <xdr:colOff>566615</xdr:colOff>
      <xdr:row>32</xdr:row>
      <xdr:rowOff>1</xdr:rowOff>
    </xdr:to>
    <xdr:sp macro="" textlink="">
      <xdr:nvSpPr>
        <xdr:cNvPr id="11" name="Rectangle 10">
          <a:extLst>
            <a:ext uri="{FF2B5EF4-FFF2-40B4-BE49-F238E27FC236}">
              <a16:creationId xmlns:a16="http://schemas.microsoft.com/office/drawing/2014/main" id="{531F2394-31C2-410E-82DF-531E3DE07A6F}"/>
            </a:ext>
          </a:extLst>
        </xdr:cNvPr>
        <xdr:cNvSpPr/>
      </xdr:nvSpPr>
      <xdr:spPr>
        <a:xfrm>
          <a:off x="9210040" y="4118123"/>
          <a:ext cx="4767775" cy="17340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224693</xdr:colOff>
      <xdr:row>11</xdr:row>
      <xdr:rowOff>9770</xdr:rowOff>
    </xdr:from>
    <xdr:to>
      <xdr:col>4</xdr:col>
      <xdr:colOff>58617</xdr:colOff>
      <xdr:row>15</xdr:row>
      <xdr:rowOff>87923</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F172AA0-B63F-46C2-A964-B6B8BF8A933E}"/>
            </a:ext>
          </a:extLst>
        </xdr:cNvPr>
        <xdr:cNvSpPr/>
      </xdr:nvSpPr>
      <xdr:spPr>
        <a:xfrm>
          <a:off x="224693" y="2021450"/>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DASHBOARD</a:t>
          </a:r>
        </a:p>
      </xdr:txBody>
    </xdr:sp>
    <xdr:clientData/>
  </xdr:twoCellAnchor>
  <xdr:twoCellAnchor>
    <xdr:from>
      <xdr:col>0</xdr:col>
      <xdr:colOff>202223</xdr:colOff>
      <xdr:row>16</xdr:row>
      <xdr:rowOff>27354</xdr:rowOff>
    </xdr:from>
    <xdr:to>
      <xdr:col>4</xdr:col>
      <xdr:colOff>36147</xdr:colOff>
      <xdr:row>20</xdr:row>
      <xdr:rowOff>105507</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5E0884B4-C029-4797-AEAB-F2A01052E72C}"/>
            </a:ext>
          </a:extLst>
        </xdr:cNvPr>
        <xdr:cNvSpPr/>
      </xdr:nvSpPr>
      <xdr:spPr>
        <a:xfrm>
          <a:off x="202223" y="2953434"/>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PRODUCTS</a:t>
          </a:r>
        </a:p>
      </xdr:txBody>
    </xdr:sp>
    <xdr:clientData/>
  </xdr:twoCellAnchor>
  <xdr:twoCellAnchor>
    <xdr:from>
      <xdr:col>0</xdr:col>
      <xdr:colOff>182685</xdr:colOff>
      <xdr:row>21</xdr:row>
      <xdr:rowOff>76200</xdr:rowOff>
    </xdr:from>
    <xdr:to>
      <xdr:col>4</xdr:col>
      <xdr:colOff>16609</xdr:colOff>
      <xdr:row>25</xdr:row>
      <xdr:rowOff>154353</xdr:rowOff>
    </xdr:to>
    <xdr:sp macro="" textlink="">
      <xdr:nvSpPr>
        <xdr:cNvPr id="14" name="Rectangle: Rounded Corners 13">
          <a:extLst>
            <a:ext uri="{FF2B5EF4-FFF2-40B4-BE49-F238E27FC236}">
              <a16:creationId xmlns:a16="http://schemas.microsoft.com/office/drawing/2014/main" id="{94D82743-C472-4BFE-B90E-0AA0A6163D0F}"/>
            </a:ext>
          </a:extLst>
        </xdr:cNvPr>
        <xdr:cNvSpPr/>
      </xdr:nvSpPr>
      <xdr:spPr>
        <a:xfrm>
          <a:off x="182685" y="3916680"/>
          <a:ext cx="2272324" cy="809673"/>
        </a:xfrm>
        <a:prstGeom prst="roundRect">
          <a:avLst>
            <a:gd name="adj" fmla="val 30952"/>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SALESMANS</a:t>
          </a:r>
        </a:p>
      </xdr:txBody>
    </xdr:sp>
    <xdr:clientData/>
  </xdr:twoCellAnchor>
  <xdr:twoCellAnchor>
    <xdr:from>
      <xdr:col>0</xdr:col>
      <xdr:colOff>182686</xdr:colOff>
      <xdr:row>26</xdr:row>
      <xdr:rowOff>144584</xdr:rowOff>
    </xdr:from>
    <xdr:to>
      <xdr:col>4</xdr:col>
      <xdr:colOff>16610</xdr:colOff>
      <xdr:row>31</xdr:row>
      <xdr:rowOff>37122</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F237C630-0A5C-45B2-A627-8A35953BB04E}"/>
            </a:ext>
          </a:extLst>
        </xdr:cNvPr>
        <xdr:cNvSpPr/>
      </xdr:nvSpPr>
      <xdr:spPr>
        <a:xfrm>
          <a:off x="182686" y="4899464"/>
          <a:ext cx="2272324" cy="806938"/>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ABOUT</a:t>
          </a:r>
        </a:p>
      </xdr:txBody>
    </xdr:sp>
    <xdr:clientData/>
  </xdr:twoCellAnchor>
  <xdr:twoCellAnchor>
    <xdr:from>
      <xdr:col>5</xdr:col>
      <xdr:colOff>263770</xdr:colOff>
      <xdr:row>16</xdr:row>
      <xdr:rowOff>19538</xdr:rowOff>
    </xdr:from>
    <xdr:to>
      <xdr:col>9</xdr:col>
      <xdr:colOff>244231</xdr:colOff>
      <xdr:row>19</xdr:row>
      <xdr:rowOff>68384</xdr:rowOff>
    </xdr:to>
    <xdr:sp macro="" textlink="">
      <xdr:nvSpPr>
        <xdr:cNvPr id="16" name="Rectangle 15">
          <a:extLst>
            <a:ext uri="{FF2B5EF4-FFF2-40B4-BE49-F238E27FC236}">
              <a16:creationId xmlns:a16="http://schemas.microsoft.com/office/drawing/2014/main" id="{FA64B297-1783-44B2-9C1F-F39729F2AECA}"/>
            </a:ext>
          </a:extLst>
        </xdr:cNvPr>
        <xdr:cNvSpPr/>
      </xdr:nvSpPr>
      <xdr:spPr>
        <a:xfrm>
          <a:off x="3311770" y="294561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3">
                <a:lumMod val="60000"/>
                <a:lumOff val="40000"/>
              </a:schemeClr>
            </a:solidFill>
          </a:endParaRPr>
        </a:p>
      </xdr:txBody>
    </xdr:sp>
    <xdr:clientData/>
  </xdr:twoCellAnchor>
  <xdr:twoCellAnchor>
    <xdr:from>
      <xdr:col>10</xdr:col>
      <xdr:colOff>372207</xdr:colOff>
      <xdr:row>16</xdr:row>
      <xdr:rowOff>39078</xdr:rowOff>
    </xdr:from>
    <xdr:to>
      <xdr:col>14</xdr:col>
      <xdr:colOff>352668</xdr:colOff>
      <xdr:row>19</xdr:row>
      <xdr:rowOff>87924</xdr:rowOff>
    </xdr:to>
    <xdr:sp macro="" textlink="">
      <xdr:nvSpPr>
        <xdr:cNvPr id="17" name="Rectangle 16">
          <a:extLst>
            <a:ext uri="{FF2B5EF4-FFF2-40B4-BE49-F238E27FC236}">
              <a16:creationId xmlns:a16="http://schemas.microsoft.com/office/drawing/2014/main" id="{07D710A6-C249-4C5C-A007-531D1D1603A7}"/>
            </a:ext>
          </a:extLst>
        </xdr:cNvPr>
        <xdr:cNvSpPr/>
      </xdr:nvSpPr>
      <xdr:spPr>
        <a:xfrm>
          <a:off x="6468207" y="296515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2">
                <a:lumMod val="75000"/>
              </a:schemeClr>
            </a:solidFill>
          </a:endParaRPr>
        </a:p>
      </xdr:txBody>
    </xdr:sp>
    <xdr:clientData/>
  </xdr:twoCellAnchor>
  <xdr:twoCellAnchor>
    <xdr:from>
      <xdr:col>15</xdr:col>
      <xdr:colOff>89401</xdr:colOff>
      <xdr:row>13</xdr:row>
      <xdr:rowOff>55217</xdr:rowOff>
    </xdr:from>
    <xdr:to>
      <xdr:col>22</xdr:col>
      <xdr:colOff>409662</xdr:colOff>
      <xdr:row>22</xdr:row>
      <xdr:rowOff>22086</xdr:rowOff>
    </xdr:to>
    <xdr:graphicFrame macro="">
      <xdr:nvGraphicFramePr>
        <xdr:cNvPr id="24" name="Chart 23">
          <a:extLst>
            <a:ext uri="{FF2B5EF4-FFF2-40B4-BE49-F238E27FC236}">
              <a16:creationId xmlns:a16="http://schemas.microsoft.com/office/drawing/2014/main" id="{DBF5E5FB-8536-429B-8377-6C324AF74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279832</xdr:colOff>
      <xdr:row>11</xdr:row>
      <xdr:rowOff>158516</xdr:rowOff>
    </xdr:from>
    <xdr:to>
      <xdr:col>20</xdr:col>
      <xdr:colOff>121479</xdr:colOff>
      <xdr:row>15</xdr:row>
      <xdr:rowOff>19623</xdr:rowOff>
    </xdr:to>
    <xdr:sp macro="" textlink="">
      <xdr:nvSpPr>
        <xdr:cNvPr id="19" name="Rectangle 18">
          <a:extLst>
            <a:ext uri="{FF2B5EF4-FFF2-40B4-BE49-F238E27FC236}">
              <a16:creationId xmlns:a16="http://schemas.microsoft.com/office/drawing/2014/main" id="{25287BFA-2553-43B1-9CFA-DB2CBA928758}"/>
            </a:ext>
          </a:extLst>
        </xdr:cNvPr>
        <xdr:cNvSpPr/>
      </xdr:nvSpPr>
      <xdr:spPr>
        <a:xfrm>
          <a:off x="8814232" y="2170196"/>
          <a:ext cx="3499247" cy="592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Top 3 Salesmans</a:t>
          </a:r>
          <a:endParaRPr lang="en-IN" sz="1000" b="1">
            <a:solidFill>
              <a:schemeClr val="tx1"/>
            </a:solidFill>
          </a:endParaRPr>
        </a:p>
      </xdr:txBody>
    </xdr:sp>
    <xdr:clientData/>
  </xdr:twoCellAnchor>
  <xdr:twoCellAnchor>
    <xdr:from>
      <xdr:col>15</xdr:col>
      <xdr:colOff>88126</xdr:colOff>
      <xdr:row>22</xdr:row>
      <xdr:rowOff>143565</xdr:rowOff>
    </xdr:from>
    <xdr:to>
      <xdr:col>22</xdr:col>
      <xdr:colOff>408387</xdr:colOff>
      <xdr:row>31</xdr:row>
      <xdr:rowOff>132521</xdr:rowOff>
    </xdr:to>
    <xdr:graphicFrame macro="">
      <xdr:nvGraphicFramePr>
        <xdr:cNvPr id="25" name="Chart 24">
          <a:extLst>
            <a:ext uri="{FF2B5EF4-FFF2-40B4-BE49-F238E27FC236}">
              <a16:creationId xmlns:a16="http://schemas.microsoft.com/office/drawing/2014/main" id="{5C010214-B353-4872-91BC-6BA8E27FF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528943</xdr:colOff>
      <xdr:row>21</xdr:row>
      <xdr:rowOff>170191</xdr:rowOff>
    </xdr:from>
    <xdr:to>
      <xdr:col>20</xdr:col>
      <xdr:colOff>99391</xdr:colOff>
      <xdr:row>25</xdr:row>
      <xdr:rowOff>31297</xdr:rowOff>
    </xdr:to>
    <xdr:sp macro="" textlink="">
      <xdr:nvSpPr>
        <xdr:cNvPr id="21" name="Rectangle 20">
          <a:extLst>
            <a:ext uri="{FF2B5EF4-FFF2-40B4-BE49-F238E27FC236}">
              <a16:creationId xmlns:a16="http://schemas.microsoft.com/office/drawing/2014/main" id="{24B650CC-385F-4F35-B054-A145956D44E8}"/>
            </a:ext>
          </a:extLst>
        </xdr:cNvPr>
        <xdr:cNvSpPr/>
      </xdr:nvSpPr>
      <xdr:spPr>
        <a:xfrm>
          <a:off x="9063343" y="4010671"/>
          <a:ext cx="3228048" cy="5926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Botto</a:t>
          </a:r>
          <a:r>
            <a:rPr lang="en-IN" sz="2000" b="1" baseline="0">
              <a:solidFill>
                <a:sysClr val="windowText" lastClr="000000"/>
              </a:solidFill>
            </a:rPr>
            <a:t>m 3 Salesmans</a:t>
          </a:r>
          <a:endParaRPr lang="en-IN" sz="1000" b="1">
            <a:solidFill>
              <a:sysClr val="windowText" lastClr="000000"/>
            </a:solidFill>
          </a:endParaRPr>
        </a:p>
      </xdr:txBody>
    </xdr:sp>
    <xdr:clientData/>
  </xdr:twoCellAnchor>
  <xdr:twoCellAnchor>
    <xdr:from>
      <xdr:col>4</xdr:col>
      <xdr:colOff>548394</xdr:colOff>
      <xdr:row>17</xdr:row>
      <xdr:rowOff>132521</xdr:rowOff>
    </xdr:from>
    <xdr:to>
      <xdr:col>12</xdr:col>
      <xdr:colOff>261263</xdr:colOff>
      <xdr:row>32</xdr:row>
      <xdr:rowOff>15019</xdr:rowOff>
    </xdr:to>
    <xdr:graphicFrame macro="">
      <xdr:nvGraphicFramePr>
        <xdr:cNvPr id="26" name="Chart 25">
          <a:extLst>
            <a:ext uri="{FF2B5EF4-FFF2-40B4-BE49-F238E27FC236}">
              <a16:creationId xmlns:a16="http://schemas.microsoft.com/office/drawing/2014/main" id="{4BF6187A-2C5B-4025-BB20-77BE72E39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353391</xdr:colOff>
      <xdr:row>16</xdr:row>
      <xdr:rowOff>1</xdr:rowOff>
    </xdr:from>
    <xdr:to>
      <xdr:col>9</xdr:col>
      <xdr:colOff>530087</xdr:colOff>
      <xdr:row>19</xdr:row>
      <xdr:rowOff>33132</xdr:rowOff>
    </xdr:to>
    <xdr:sp macro="" textlink="">
      <xdr:nvSpPr>
        <xdr:cNvPr id="23" name="Rectangle: Rounded Corners 22">
          <a:extLst>
            <a:ext uri="{FF2B5EF4-FFF2-40B4-BE49-F238E27FC236}">
              <a16:creationId xmlns:a16="http://schemas.microsoft.com/office/drawing/2014/main" id="{04234050-9E95-4B5C-BD80-E7C5910F9AF8}"/>
            </a:ext>
          </a:extLst>
        </xdr:cNvPr>
        <xdr:cNvSpPr/>
      </xdr:nvSpPr>
      <xdr:spPr>
        <a:xfrm>
          <a:off x="2791791" y="2926081"/>
          <a:ext cx="3224696" cy="5817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ln>
                <a:noFill/>
              </a:ln>
              <a:solidFill>
                <a:schemeClr val="tx1"/>
              </a:solidFill>
            </a:rPr>
            <a:t>Sales</a:t>
          </a:r>
          <a:r>
            <a:rPr lang="en-IN" sz="2000" b="1" baseline="0">
              <a:ln>
                <a:noFill/>
              </a:ln>
              <a:solidFill>
                <a:schemeClr val="tx1"/>
              </a:solidFill>
            </a:rPr>
            <a:t> performance</a:t>
          </a:r>
          <a:endParaRPr lang="en-IN" sz="1200" b="1">
            <a:ln>
              <a:noFill/>
            </a:ln>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23</xdr:col>
      <xdr:colOff>60960</xdr:colOff>
      <xdr:row>32</xdr:row>
      <xdr:rowOff>167640</xdr:rowOff>
    </xdr:to>
    <xdr:sp macro="" textlink="">
      <xdr:nvSpPr>
        <xdr:cNvPr id="2" name="Rectangle: Rounded Corners 1">
          <a:extLst>
            <a:ext uri="{FF2B5EF4-FFF2-40B4-BE49-F238E27FC236}">
              <a16:creationId xmlns:a16="http://schemas.microsoft.com/office/drawing/2014/main" id="{A4D89133-A68F-4282-9746-EA14FCA56CDF}"/>
            </a:ext>
          </a:extLst>
        </xdr:cNvPr>
        <xdr:cNvSpPr/>
      </xdr:nvSpPr>
      <xdr:spPr>
        <a:xfrm>
          <a:off x="114300" y="76200"/>
          <a:ext cx="13967460" cy="5943600"/>
        </a:xfrm>
        <a:prstGeom prst="roundRect">
          <a:avLst>
            <a:gd name="adj" fmla="val 37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4</xdr:col>
      <xdr:colOff>167640</xdr:colOff>
      <xdr:row>0</xdr:row>
      <xdr:rowOff>114300</xdr:rowOff>
    </xdr:from>
    <xdr:to>
      <xdr:col>23</xdr:col>
      <xdr:colOff>30480</xdr:colOff>
      <xdr:row>32</xdr:row>
      <xdr:rowOff>91440</xdr:rowOff>
    </xdr:to>
    <xdr:sp macro="" textlink="">
      <xdr:nvSpPr>
        <xdr:cNvPr id="3" name="Rectangle: Rounded Corners 2">
          <a:extLst>
            <a:ext uri="{FF2B5EF4-FFF2-40B4-BE49-F238E27FC236}">
              <a16:creationId xmlns:a16="http://schemas.microsoft.com/office/drawing/2014/main" id="{F590056B-C6F9-4EAD-BE28-E3B80B987E0A}"/>
            </a:ext>
          </a:extLst>
        </xdr:cNvPr>
        <xdr:cNvSpPr/>
      </xdr:nvSpPr>
      <xdr:spPr>
        <a:xfrm>
          <a:off x="2606040" y="114300"/>
          <a:ext cx="11445240" cy="5829300"/>
        </a:xfrm>
        <a:prstGeom prst="roundRect">
          <a:avLst>
            <a:gd name="adj" fmla="val 3752"/>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259080</xdr:colOff>
      <xdr:row>1</xdr:row>
      <xdr:rowOff>15240</xdr:rowOff>
    </xdr:from>
    <xdr:to>
      <xdr:col>13</xdr:col>
      <xdr:colOff>396240</xdr:colOff>
      <xdr:row>7</xdr:row>
      <xdr:rowOff>99060</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BECCAE49-C5BD-4FE9-BF76-40B0BE2B7F07}"/>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2688645" y="202979"/>
              <a:ext cx="5603682" cy="1210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426720</xdr:colOff>
      <xdr:row>1</xdr:row>
      <xdr:rowOff>15240</xdr:rowOff>
    </xdr:from>
    <xdr:to>
      <xdr:col>22</xdr:col>
      <xdr:colOff>571500</xdr:colOff>
      <xdr:row>7</xdr:row>
      <xdr:rowOff>114300</xdr:rowOff>
    </xdr:to>
    <mc:AlternateContent xmlns:mc="http://schemas.openxmlformats.org/markup-compatibility/2006">
      <mc:Choice xmlns:a14="http://schemas.microsoft.com/office/drawing/2010/main" Requires="a14">
        <xdr:graphicFrame macro="">
          <xdr:nvGraphicFramePr>
            <xdr:cNvPr id="5" name="Place 4">
              <a:extLst>
                <a:ext uri="{FF2B5EF4-FFF2-40B4-BE49-F238E27FC236}">
                  <a16:creationId xmlns:a16="http://schemas.microsoft.com/office/drawing/2014/main" id="{7C998CD6-72EE-409A-9730-D09D7C709785}"/>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dr:sp macro="" textlink="">
          <xdr:nvSpPr>
            <xdr:cNvPr id="0" name=""/>
            <xdr:cNvSpPr>
              <a:spLocks noTextEdit="1"/>
            </xdr:cNvSpPr>
          </xdr:nvSpPr>
          <xdr:spPr>
            <a:xfrm>
              <a:off x="8322807" y="202979"/>
              <a:ext cx="5611302" cy="122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266700</xdr:colOff>
      <xdr:row>8</xdr:row>
      <xdr:rowOff>22860</xdr:rowOff>
    </xdr:from>
    <xdr:to>
      <xdr:col>22</xdr:col>
      <xdr:colOff>563880</xdr:colOff>
      <xdr:row>12</xdr:row>
      <xdr:rowOff>15239</xdr:rowOff>
    </xdr:to>
    <mc:AlternateContent xmlns:mc="http://schemas.openxmlformats.org/markup-compatibility/2006">
      <mc:Choice xmlns:a14="http://schemas.microsoft.com/office/drawing/2010/main" Requires="a14">
        <xdr:graphicFrame macro="">
          <xdr:nvGraphicFramePr>
            <xdr:cNvPr id="6" name="Products 4">
              <a:extLst>
                <a:ext uri="{FF2B5EF4-FFF2-40B4-BE49-F238E27FC236}">
                  <a16:creationId xmlns:a16="http://schemas.microsoft.com/office/drawing/2014/main" id="{4AECDC76-69FF-4F7C-913E-7935607B97C7}"/>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dr:sp macro="" textlink="">
          <xdr:nvSpPr>
            <xdr:cNvPr id="0" name=""/>
            <xdr:cNvSpPr>
              <a:spLocks noTextEdit="1"/>
            </xdr:cNvSpPr>
          </xdr:nvSpPr>
          <xdr:spPr>
            <a:xfrm>
              <a:off x="2696265" y="1524773"/>
              <a:ext cx="11230224" cy="743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237783</xdr:colOff>
      <xdr:row>12</xdr:row>
      <xdr:rowOff>144389</xdr:rowOff>
    </xdr:from>
    <xdr:to>
      <xdr:col>9</xdr:col>
      <xdr:colOff>176823</xdr:colOff>
      <xdr:row>15</xdr:row>
      <xdr:rowOff>136770</xdr:rowOff>
    </xdr:to>
    <xdr:sp macro="" textlink="">
      <xdr:nvSpPr>
        <xdr:cNvPr id="8" name="Rectangle 7">
          <a:extLst>
            <a:ext uri="{FF2B5EF4-FFF2-40B4-BE49-F238E27FC236}">
              <a16:creationId xmlns:a16="http://schemas.microsoft.com/office/drawing/2014/main" id="{3C979491-4051-4C2B-9AA2-4707F90541F2}"/>
            </a:ext>
          </a:extLst>
        </xdr:cNvPr>
        <xdr:cNvSpPr/>
      </xdr:nvSpPr>
      <xdr:spPr>
        <a:xfrm>
          <a:off x="3285783" y="2338949"/>
          <a:ext cx="2377440" cy="5410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tx1"/>
              </a:solidFill>
            </a:rPr>
            <a:t>About</a:t>
          </a:r>
          <a:r>
            <a:rPr lang="en-IN" sz="2800" b="1">
              <a:solidFill>
                <a:schemeClr val="accent1">
                  <a:lumMod val="75000"/>
                </a:schemeClr>
              </a:solidFill>
            </a:rPr>
            <a:t>	</a:t>
          </a:r>
          <a:endParaRPr lang="en-IN" sz="1100" b="1">
            <a:solidFill>
              <a:schemeClr val="accent1">
                <a:lumMod val="75000"/>
              </a:schemeClr>
            </a:solidFill>
          </a:endParaRPr>
        </a:p>
      </xdr:txBody>
    </xdr:sp>
    <xdr:clientData/>
  </xdr:twoCellAnchor>
  <xdr:twoCellAnchor>
    <xdr:from>
      <xdr:col>4</xdr:col>
      <xdr:colOff>274514</xdr:colOff>
      <xdr:row>16</xdr:row>
      <xdr:rowOff>44174</xdr:rowOff>
    </xdr:from>
    <xdr:to>
      <xdr:col>22</xdr:col>
      <xdr:colOff>452781</xdr:colOff>
      <xdr:row>31</xdr:row>
      <xdr:rowOff>185614</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1942FBD6-5EE2-49FF-BB75-3ABB96E787E7}"/>
            </a:ext>
          </a:extLst>
        </xdr:cNvPr>
        <xdr:cNvSpPr/>
      </xdr:nvSpPr>
      <xdr:spPr>
        <a:xfrm>
          <a:off x="2704079" y="3048000"/>
          <a:ext cx="11111311" cy="295752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ln>
                <a:noFill/>
              </a:ln>
              <a:solidFill>
                <a:schemeClr val="tx1"/>
              </a:solidFill>
            </a:rPr>
            <a:t>Version:</a:t>
          </a:r>
        </a:p>
        <a:p>
          <a:pPr algn="l"/>
          <a:r>
            <a:rPr lang="en-IN" sz="3200" b="0" baseline="0">
              <a:ln>
                <a:noFill/>
              </a:ln>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rPr>
            <a:t>  </a:t>
          </a:r>
          <a:r>
            <a:rPr lang="en-IN" sz="2400" b="0" baseline="0">
              <a:ln>
                <a:noFill/>
              </a:ln>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rPr>
            <a:t>This project about the data Visualization In excel</a:t>
          </a:r>
        </a:p>
        <a:p>
          <a:pPr algn="l"/>
          <a:endParaRPr lang="en-IN" sz="3200" b="0">
            <a:ln>
              <a:noFill/>
            </a:ln>
            <a:solidFill>
              <a:schemeClr val="tx1"/>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0</xdr:col>
      <xdr:colOff>224693</xdr:colOff>
      <xdr:row>11</xdr:row>
      <xdr:rowOff>9770</xdr:rowOff>
    </xdr:from>
    <xdr:to>
      <xdr:col>4</xdr:col>
      <xdr:colOff>58617</xdr:colOff>
      <xdr:row>15</xdr:row>
      <xdr:rowOff>87923</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CD662AB4-E276-4FFD-86B2-982057629C14}"/>
            </a:ext>
          </a:extLst>
        </xdr:cNvPr>
        <xdr:cNvSpPr/>
      </xdr:nvSpPr>
      <xdr:spPr>
        <a:xfrm>
          <a:off x="224693" y="2021450"/>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rPr>
            <a:t>DASHBOARD</a:t>
          </a:r>
        </a:p>
      </xdr:txBody>
    </xdr:sp>
    <xdr:clientData/>
  </xdr:twoCellAnchor>
  <xdr:twoCellAnchor>
    <xdr:from>
      <xdr:col>0</xdr:col>
      <xdr:colOff>202223</xdr:colOff>
      <xdr:row>16</xdr:row>
      <xdr:rowOff>27354</xdr:rowOff>
    </xdr:from>
    <xdr:to>
      <xdr:col>4</xdr:col>
      <xdr:colOff>36147</xdr:colOff>
      <xdr:row>20</xdr:row>
      <xdr:rowOff>105507</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F54098C0-65D8-42B6-AA14-51586F880CC2}"/>
            </a:ext>
          </a:extLst>
        </xdr:cNvPr>
        <xdr:cNvSpPr/>
      </xdr:nvSpPr>
      <xdr:spPr>
        <a:xfrm>
          <a:off x="202223" y="2953434"/>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PRODUCTS</a:t>
          </a:r>
        </a:p>
      </xdr:txBody>
    </xdr:sp>
    <xdr:clientData/>
  </xdr:twoCellAnchor>
  <xdr:twoCellAnchor>
    <xdr:from>
      <xdr:col>0</xdr:col>
      <xdr:colOff>182685</xdr:colOff>
      <xdr:row>21</xdr:row>
      <xdr:rowOff>76200</xdr:rowOff>
    </xdr:from>
    <xdr:to>
      <xdr:col>4</xdr:col>
      <xdr:colOff>16609</xdr:colOff>
      <xdr:row>25</xdr:row>
      <xdr:rowOff>154353</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40879537-989E-465B-A79B-E7ABA6065945}"/>
            </a:ext>
          </a:extLst>
        </xdr:cNvPr>
        <xdr:cNvSpPr/>
      </xdr:nvSpPr>
      <xdr:spPr>
        <a:xfrm>
          <a:off x="182685" y="3916680"/>
          <a:ext cx="2272324" cy="809673"/>
        </a:xfrm>
        <a:prstGeom prst="roundRect">
          <a:avLst>
            <a:gd name="adj" fmla="val 30952"/>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SALESMANS</a:t>
          </a:r>
        </a:p>
      </xdr:txBody>
    </xdr:sp>
    <xdr:clientData/>
  </xdr:twoCellAnchor>
  <xdr:twoCellAnchor>
    <xdr:from>
      <xdr:col>0</xdr:col>
      <xdr:colOff>182686</xdr:colOff>
      <xdr:row>26</xdr:row>
      <xdr:rowOff>144584</xdr:rowOff>
    </xdr:from>
    <xdr:to>
      <xdr:col>4</xdr:col>
      <xdr:colOff>16610</xdr:colOff>
      <xdr:row>31</xdr:row>
      <xdr:rowOff>37122</xdr:rowOff>
    </xdr:to>
    <xdr:sp macro="" textlink="">
      <xdr:nvSpPr>
        <xdr:cNvPr id="15" name="Rectangle: Rounded Corners 14">
          <a:extLst>
            <a:ext uri="{FF2B5EF4-FFF2-40B4-BE49-F238E27FC236}">
              <a16:creationId xmlns:a16="http://schemas.microsoft.com/office/drawing/2014/main" id="{E1B4927C-1CF5-44C6-B6E3-F2B647D8F6FF}"/>
            </a:ext>
          </a:extLst>
        </xdr:cNvPr>
        <xdr:cNvSpPr/>
      </xdr:nvSpPr>
      <xdr:spPr>
        <a:xfrm>
          <a:off x="182686" y="4899464"/>
          <a:ext cx="2272324" cy="806938"/>
        </a:xfrm>
        <a:prstGeom prst="roundRect">
          <a:avLst>
            <a:gd name="adj" fmla="val 30952"/>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ABOUT</a:t>
          </a:r>
        </a:p>
      </xdr:txBody>
    </xdr:sp>
    <xdr:clientData/>
  </xdr:twoCellAnchor>
  <xdr:twoCellAnchor>
    <xdr:from>
      <xdr:col>5</xdr:col>
      <xdr:colOff>263770</xdr:colOff>
      <xdr:row>16</xdr:row>
      <xdr:rowOff>19538</xdr:rowOff>
    </xdr:from>
    <xdr:to>
      <xdr:col>9</xdr:col>
      <xdr:colOff>244231</xdr:colOff>
      <xdr:row>19</xdr:row>
      <xdr:rowOff>68384</xdr:rowOff>
    </xdr:to>
    <xdr:sp macro="" textlink="">
      <xdr:nvSpPr>
        <xdr:cNvPr id="16" name="Rectangle 15">
          <a:extLst>
            <a:ext uri="{FF2B5EF4-FFF2-40B4-BE49-F238E27FC236}">
              <a16:creationId xmlns:a16="http://schemas.microsoft.com/office/drawing/2014/main" id="{7822ACCD-8787-4461-92AE-F693969E18B6}"/>
            </a:ext>
          </a:extLst>
        </xdr:cNvPr>
        <xdr:cNvSpPr/>
      </xdr:nvSpPr>
      <xdr:spPr>
        <a:xfrm>
          <a:off x="3311770" y="294561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3">
                <a:lumMod val="60000"/>
                <a:lumOff val="40000"/>
              </a:schemeClr>
            </a:solidFill>
          </a:endParaRPr>
        </a:p>
      </xdr:txBody>
    </xdr:sp>
    <xdr:clientData/>
  </xdr:twoCellAnchor>
  <xdr:twoCellAnchor>
    <xdr:from>
      <xdr:col>10</xdr:col>
      <xdr:colOff>372207</xdr:colOff>
      <xdr:row>16</xdr:row>
      <xdr:rowOff>39078</xdr:rowOff>
    </xdr:from>
    <xdr:to>
      <xdr:col>14</xdr:col>
      <xdr:colOff>352668</xdr:colOff>
      <xdr:row>19</xdr:row>
      <xdr:rowOff>87924</xdr:rowOff>
    </xdr:to>
    <xdr:sp macro="" textlink="">
      <xdr:nvSpPr>
        <xdr:cNvPr id="17" name="Rectangle 16">
          <a:extLst>
            <a:ext uri="{FF2B5EF4-FFF2-40B4-BE49-F238E27FC236}">
              <a16:creationId xmlns:a16="http://schemas.microsoft.com/office/drawing/2014/main" id="{65A4C05B-26E8-4BA3-B0AC-47C8B9594F03}"/>
            </a:ext>
          </a:extLst>
        </xdr:cNvPr>
        <xdr:cNvSpPr/>
      </xdr:nvSpPr>
      <xdr:spPr>
        <a:xfrm>
          <a:off x="6468207" y="2965158"/>
          <a:ext cx="2418861" cy="5974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accent2">
                <a:lumMod val="75000"/>
              </a:schemeClr>
            </a:solidFill>
          </a:endParaRPr>
        </a:p>
      </xdr:txBody>
    </xdr:sp>
    <xdr:clientData/>
  </xdr:twoCellAnchor>
  <xdr:twoCellAnchor>
    <xdr:from>
      <xdr:col>14</xdr:col>
      <xdr:colOff>279832</xdr:colOff>
      <xdr:row>11</xdr:row>
      <xdr:rowOff>158516</xdr:rowOff>
    </xdr:from>
    <xdr:to>
      <xdr:col>20</xdr:col>
      <xdr:colOff>121479</xdr:colOff>
      <xdr:row>15</xdr:row>
      <xdr:rowOff>19623</xdr:rowOff>
    </xdr:to>
    <xdr:sp macro="" textlink="">
      <xdr:nvSpPr>
        <xdr:cNvPr id="19" name="Rectangle 18">
          <a:extLst>
            <a:ext uri="{FF2B5EF4-FFF2-40B4-BE49-F238E27FC236}">
              <a16:creationId xmlns:a16="http://schemas.microsoft.com/office/drawing/2014/main" id="{9C153AEE-451F-4FEA-A726-9CDD8D889466}"/>
            </a:ext>
          </a:extLst>
        </xdr:cNvPr>
        <xdr:cNvSpPr/>
      </xdr:nvSpPr>
      <xdr:spPr>
        <a:xfrm>
          <a:off x="8814232" y="2170196"/>
          <a:ext cx="3499247" cy="5926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chemeClr val="tx1"/>
            </a:solidFill>
          </a:endParaRPr>
        </a:p>
      </xdr:txBody>
    </xdr:sp>
    <xdr:clientData/>
  </xdr:twoCellAnchor>
  <xdr:twoCellAnchor>
    <xdr:from>
      <xdr:col>14</xdr:col>
      <xdr:colOff>528943</xdr:colOff>
      <xdr:row>21</xdr:row>
      <xdr:rowOff>170191</xdr:rowOff>
    </xdr:from>
    <xdr:to>
      <xdr:col>20</xdr:col>
      <xdr:colOff>99391</xdr:colOff>
      <xdr:row>25</xdr:row>
      <xdr:rowOff>31297</xdr:rowOff>
    </xdr:to>
    <xdr:sp macro="" textlink="">
      <xdr:nvSpPr>
        <xdr:cNvPr id="21" name="Rectangle 20">
          <a:extLst>
            <a:ext uri="{FF2B5EF4-FFF2-40B4-BE49-F238E27FC236}">
              <a16:creationId xmlns:a16="http://schemas.microsoft.com/office/drawing/2014/main" id="{E3D44C86-0753-4F54-A136-81D04BA94A63}"/>
            </a:ext>
          </a:extLst>
        </xdr:cNvPr>
        <xdr:cNvSpPr/>
      </xdr:nvSpPr>
      <xdr:spPr>
        <a:xfrm>
          <a:off x="9063343" y="4010671"/>
          <a:ext cx="3228048" cy="5926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000" b="1">
            <a:solidFill>
              <a:sysClr val="windowText" lastClr="000000"/>
            </a:solidFill>
          </a:endParaRPr>
        </a:p>
      </xdr:txBody>
    </xdr:sp>
    <xdr:clientData/>
  </xdr:twoCellAnchor>
  <xdr:twoCellAnchor>
    <xdr:from>
      <xdr:col>4</xdr:col>
      <xdr:colOff>353391</xdr:colOff>
      <xdr:row>16</xdr:row>
      <xdr:rowOff>1</xdr:rowOff>
    </xdr:from>
    <xdr:to>
      <xdr:col>9</xdr:col>
      <xdr:colOff>530087</xdr:colOff>
      <xdr:row>19</xdr:row>
      <xdr:rowOff>33132</xdr:rowOff>
    </xdr:to>
    <xdr:sp macro="" textlink="">
      <xdr:nvSpPr>
        <xdr:cNvPr id="23" name="Rectangle: Rounded Corners 22">
          <a:extLst>
            <a:ext uri="{FF2B5EF4-FFF2-40B4-BE49-F238E27FC236}">
              <a16:creationId xmlns:a16="http://schemas.microsoft.com/office/drawing/2014/main" id="{5447825A-0D86-4E06-9717-A40255D45D7F}"/>
            </a:ext>
          </a:extLst>
        </xdr:cNvPr>
        <xdr:cNvSpPr/>
      </xdr:nvSpPr>
      <xdr:spPr>
        <a:xfrm>
          <a:off x="2791791" y="2926081"/>
          <a:ext cx="3224696" cy="5817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a:ln>
              <a:noFill/>
            </a:ln>
            <a:solidFill>
              <a:schemeClr val="tx1"/>
            </a:solidFill>
          </a:endParaRPr>
        </a:p>
      </xdr:txBody>
    </xdr:sp>
    <xdr:clientData/>
  </xdr:twoCellAnchor>
  <xdr:twoCellAnchor editAs="oneCell">
    <xdr:from>
      <xdr:col>4</xdr:col>
      <xdr:colOff>208254</xdr:colOff>
      <xdr:row>12</xdr:row>
      <xdr:rowOff>18306</xdr:rowOff>
    </xdr:from>
    <xdr:to>
      <xdr:col>5</xdr:col>
      <xdr:colOff>331304</xdr:colOff>
      <xdr:row>15</xdr:row>
      <xdr:rowOff>185531</xdr:rowOff>
    </xdr:to>
    <xdr:pic>
      <xdr:nvPicPr>
        <xdr:cNvPr id="26" name="Graphic 25" descr="Person with idea with solid fill">
          <a:extLst>
            <a:ext uri="{FF2B5EF4-FFF2-40B4-BE49-F238E27FC236}">
              <a16:creationId xmlns:a16="http://schemas.microsoft.com/office/drawing/2014/main" id="{8F4E9093-C6BC-401B-AA76-AEC2735ACA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37819" y="2271176"/>
          <a:ext cx="730442" cy="7304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6</xdr:row>
      <xdr:rowOff>121920</xdr:rowOff>
    </xdr:from>
    <xdr:to>
      <xdr:col>11</xdr:col>
      <xdr:colOff>434340</xdr:colOff>
      <xdr:row>21</xdr:row>
      <xdr:rowOff>121920</xdr:rowOff>
    </xdr:to>
    <xdr:graphicFrame macro="">
      <xdr:nvGraphicFramePr>
        <xdr:cNvPr id="7" name="Chart 6">
          <a:extLst>
            <a:ext uri="{FF2B5EF4-FFF2-40B4-BE49-F238E27FC236}">
              <a16:creationId xmlns:a16="http://schemas.microsoft.com/office/drawing/2014/main" id="{4003585E-A972-41E0-6C99-3783A3024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594360</xdr:colOff>
      <xdr:row>25</xdr:row>
      <xdr:rowOff>0</xdr:rowOff>
    </xdr:from>
    <xdr:to>
      <xdr:col>11</xdr:col>
      <xdr:colOff>289560</xdr:colOff>
      <xdr:row>40</xdr:row>
      <xdr:rowOff>0</xdr:rowOff>
    </xdr:to>
    <xdr:graphicFrame macro="">
      <xdr:nvGraphicFramePr>
        <xdr:cNvPr id="8" name="Chart 7">
          <a:extLst>
            <a:ext uri="{FF2B5EF4-FFF2-40B4-BE49-F238E27FC236}">
              <a16:creationId xmlns:a16="http://schemas.microsoft.com/office/drawing/2014/main" id="{1952254D-5747-F0C8-21BC-AD11D011B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449580</xdr:colOff>
      <xdr:row>41</xdr:row>
      <xdr:rowOff>144780</xdr:rowOff>
    </xdr:from>
    <xdr:to>
      <xdr:col>12</xdr:col>
      <xdr:colOff>297180</xdr:colOff>
      <xdr:row>48</xdr:row>
      <xdr:rowOff>7620</xdr:rowOff>
    </xdr:to>
    <xdr:graphicFrame macro="">
      <xdr:nvGraphicFramePr>
        <xdr:cNvPr id="9" name="Chart 8">
          <a:extLst>
            <a:ext uri="{FF2B5EF4-FFF2-40B4-BE49-F238E27FC236}">
              <a16:creationId xmlns:a16="http://schemas.microsoft.com/office/drawing/2014/main" id="{4EA7E1D0-F936-10C2-54D8-F0380770E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426720</xdr:colOff>
      <xdr:row>65</xdr:row>
      <xdr:rowOff>60960</xdr:rowOff>
    </xdr:from>
    <xdr:to>
      <xdr:col>13</xdr:col>
      <xdr:colOff>121920</xdr:colOff>
      <xdr:row>78</xdr:row>
      <xdr:rowOff>83820</xdr:rowOff>
    </xdr:to>
    <xdr:graphicFrame macro="">
      <xdr:nvGraphicFramePr>
        <xdr:cNvPr id="10" name="Chart 9">
          <a:extLst>
            <a:ext uri="{FF2B5EF4-FFF2-40B4-BE49-F238E27FC236}">
              <a16:creationId xmlns:a16="http://schemas.microsoft.com/office/drawing/2014/main" id="{F33A012B-3708-323C-5ED9-74A2E9B67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487680</xdr:colOff>
      <xdr:row>78</xdr:row>
      <xdr:rowOff>106680</xdr:rowOff>
    </xdr:from>
    <xdr:to>
      <xdr:col>12</xdr:col>
      <xdr:colOff>457200</xdr:colOff>
      <xdr:row>90</xdr:row>
      <xdr:rowOff>160020</xdr:rowOff>
    </xdr:to>
    <xdr:graphicFrame macro="">
      <xdr:nvGraphicFramePr>
        <xdr:cNvPr id="11" name="Chart 10">
          <a:extLst>
            <a:ext uri="{FF2B5EF4-FFF2-40B4-BE49-F238E27FC236}">
              <a16:creationId xmlns:a16="http://schemas.microsoft.com/office/drawing/2014/main" id="{1B1E42E4-0316-748D-F700-70A669C95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866273</xdr:colOff>
      <xdr:row>91</xdr:row>
      <xdr:rowOff>60158</xdr:rowOff>
    </xdr:from>
    <xdr:to>
      <xdr:col>11</xdr:col>
      <xdr:colOff>64168</xdr:colOff>
      <xdr:row>106</xdr:row>
      <xdr:rowOff>36095</xdr:rowOff>
    </xdr:to>
    <xdr:graphicFrame macro="">
      <xdr:nvGraphicFramePr>
        <xdr:cNvPr id="12" name="Chart 11">
          <a:extLst>
            <a:ext uri="{FF2B5EF4-FFF2-40B4-BE49-F238E27FC236}">
              <a16:creationId xmlns:a16="http://schemas.microsoft.com/office/drawing/2014/main" id="{3BF04000-B522-88CB-C6F1-4DBA8204F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312820</xdr:colOff>
      <xdr:row>129</xdr:row>
      <xdr:rowOff>160420</xdr:rowOff>
    </xdr:from>
    <xdr:to>
      <xdr:col>11</xdr:col>
      <xdr:colOff>441157</xdr:colOff>
      <xdr:row>143</xdr:row>
      <xdr:rowOff>20052</xdr:rowOff>
    </xdr:to>
    <xdr:graphicFrame macro="">
      <xdr:nvGraphicFramePr>
        <xdr:cNvPr id="14" name="Chart 13">
          <a:extLst>
            <a:ext uri="{FF2B5EF4-FFF2-40B4-BE49-F238E27FC236}">
              <a16:creationId xmlns:a16="http://schemas.microsoft.com/office/drawing/2014/main" id="{85032EDA-D0CE-76D6-C78D-65CB4E193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192505</xdr:colOff>
      <xdr:row>113</xdr:row>
      <xdr:rowOff>52137</xdr:rowOff>
    </xdr:from>
    <xdr:to>
      <xdr:col>11</xdr:col>
      <xdr:colOff>320842</xdr:colOff>
      <xdr:row>124</xdr:row>
      <xdr:rowOff>168442</xdr:rowOff>
    </xdr:to>
    <xdr:graphicFrame macro="">
      <xdr:nvGraphicFramePr>
        <xdr:cNvPr id="15" name="Chart 14">
          <a:extLst>
            <a:ext uri="{FF2B5EF4-FFF2-40B4-BE49-F238E27FC236}">
              <a16:creationId xmlns:a16="http://schemas.microsoft.com/office/drawing/2014/main" id="{B1837639-3CFC-5124-D7BE-D477B670C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64168</xdr:colOff>
      <xdr:row>145</xdr:row>
      <xdr:rowOff>156410</xdr:rowOff>
    </xdr:from>
    <xdr:to>
      <xdr:col>12</xdr:col>
      <xdr:colOff>368968</xdr:colOff>
      <xdr:row>160</xdr:row>
      <xdr:rowOff>132347</xdr:rowOff>
    </xdr:to>
    <xdr:graphicFrame macro="">
      <xdr:nvGraphicFramePr>
        <xdr:cNvPr id="16" name="Chart 15">
          <a:extLst>
            <a:ext uri="{FF2B5EF4-FFF2-40B4-BE49-F238E27FC236}">
              <a16:creationId xmlns:a16="http://schemas.microsoft.com/office/drawing/2014/main" id="{E347AEBD-03A3-B8D6-94A8-7732456D7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3.944836111114" createdVersion="8" refreshedVersion="8" minRefreshableVersion="3" recordCount="278" xr:uid="{1852E64A-2095-4DC2-9EF2-5D9AE17EF35B}">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2031383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F4EBF8-1405-44F4-85EF-A13D8D3472E3}" name="PivotTable1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A109:B11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1"/>
    </i>
    <i>
      <x v="2"/>
    </i>
    <i t="grand">
      <x/>
    </i>
  </rowItems>
  <colItems count="1">
    <i/>
  </colItems>
  <dataFields count="1">
    <dataField name="Sum of Units" fld="5" baseField="0" baseItem="0"/>
  </dataFields>
  <formats count="1">
    <format dxfId="0">
      <pivotArea outline="0" collapsedLevelsAreSubtotals="1" fieldPosition="0"/>
    </format>
  </formats>
  <chartFormats count="6">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703CC7-8729-4333-B14B-CEED3C91B76A}" name="PivotTable1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C170:D17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h="1" x="2"/>
        <item h="1" x="0"/>
        <item x="4"/>
        <item h="1" x="1"/>
        <item h="1" x="3"/>
        <item h="1"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1"/>
    </i>
    <i>
      <x v="2"/>
    </i>
    <i t="grand">
      <x/>
    </i>
  </rowItems>
  <colItems count="1">
    <i/>
  </colItems>
  <dataFields count="1">
    <dataField name="Sum of Units" fld="5" baseField="0" baseItem="0"/>
  </dataFields>
  <formats count="1">
    <format dxfId="1">
      <pivotArea outline="0" collapsedLevelsAreSubtotals="1" fieldPosition="0"/>
    </format>
  </formats>
  <chartFormats count="5">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00847-1F4F-40ED-B59E-E16D62CCA84C}" name="PivotTable1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C158:D16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formats count="1">
    <format dxfId="2">
      <pivotArea outline="0" collapsedLevelsAreSubtotals="1" fieldPosition="0"/>
    </format>
  </formats>
  <chartFormats count="5">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B1C719-6A32-4B41-9D51-AEEC687FF6A5}" name="PivotTable1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3">
  <location ref="C131:D13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x="2"/>
        <item h="1" x="0"/>
        <item h="1" x="4"/>
        <item h="1" x="1"/>
        <item h="1" x="3"/>
        <item h="1"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4"/>
    </i>
    <i>
      <x v="5"/>
    </i>
    <i t="grand">
      <x/>
    </i>
  </rowItems>
  <colItems count="1">
    <i/>
  </colItems>
  <dataFields count="1">
    <dataField name="Sum of Units" fld="5" baseField="0" baseItem="0"/>
  </dataFields>
  <formats count="1">
    <format dxfId="3">
      <pivotArea outline="0" collapsedLevelsAreSubtotals="1" fieldPosition="0"/>
    </format>
  </formats>
  <chartFormats count="6">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1" count="1" selected="0">
            <x v="5"/>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20318-FFED-49F7-B073-9C20325ADDD0}" name="PivotTable10"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C117:D12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4"/>
    </i>
    <i>
      <x v="5"/>
    </i>
    <i t="grand">
      <x/>
    </i>
  </rowItems>
  <colItems count="1">
    <i/>
  </colItems>
  <dataFields count="1">
    <dataField name="Sum of Units" fld="5" baseField="0" baseItem="0"/>
  </dataFields>
  <formats count="1">
    <format dxfId="4">
      <pivotArea outline="0" collapsedLevelsAreSubtotals="1" fieldPosition="0"/>
    </format>
  </formats>
  <chartFormats count="5">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DB9D50-9E33-420C-B1DE-1AEFFBD5F40B}" name="PivotTable8"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B97:C10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FB52D-9342-453E-9219-375C763398A7}" name="PivotTable7"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D83:E8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formats count="1">
    <format dxfId="5">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A6CCB7-CF7F-4631-8E95-622507886EEC}" name="PivotTable6"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D77:E8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formats count="1">
    <format dxfId="6">
      <pivotArea outline="0" collapsedLevelsAreSubtotals="1" fieldPosition="0"/>
    </format>
  </formats>
  <chartFormats count="2">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BE92E2-A2BE-494E-86AC-F7E7F9280F0B}"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67:B68"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numFmtId="166"/>
  </dataFields>
  <formats count="1">
    <format dxfId="7">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1C7018-DE28-4404-B862-22814492A856}"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61:B62"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166"/>
  </dataFields>
  <formats count="1">
    <format dxfId="8">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253361B-8170-4E35-83D1-FDFE23339395}"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C47:D54"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formats count="2">
    <format dxfId="9">
      <pivotArea outline="0" collapsedLevelsAreSubtotals="1" fieldPosition="0"/>
    </format>
    <format dxfId="10">
      <pivotArea outline="0" fieldPosition="0">
        <references count="1">
          <reference field="4294967294" count="1">
            <x v="0"/>
          </reference>
        </references>
      </pivotArea>
    </format>
  </formats>
  <chartFormats count="7">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 count="1" selected="0">
            <x v="5"/>
          </reference>
        </references>
      </pivotArea>
    </chartFormat>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211E79-57E9-42CF-BD7E-5B754E10ED21}"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26:C3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166"/>
  </dataFields>
  <formats count="1">
    <format dxfId="11">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5FA08A-51AD-4B30-B921-98F039549E9A}"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14"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3">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A81EDCEC-F339-462F-B0FD-4048833CEF52}"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s>
  <data>
    <tabular pivotCacheId="2031383332">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00D46DDA-D5FD-4943-B909-CB3FBAF84B26}" sourceName="Products">
  <pivotTables>
    <pivotTable tabId="3" name="PivotTable1"/>
    <pivotTable tabId="3" name="PivotTable2"/>
    <pivotTable tabId="3" name="PivotTable3"/>
    <pivotTable tabId="3" name="PivotTable4"/>
    <pivotTable tabId="3" name="PivotTable5"/>
    <pivotTable tabId="3" name="PivotTable8"/>
    <pivotTable tabId="3" name="PivotTable10"/>
    <pivotTable tabId="3" name="PivotTable14"/>
  </pivotTables>
  <data>
    <tabular pivotCacheId="2031383332">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9B55527E-AC44-4CC6-B3CE-89B4C7E0A842}" cache="Slicer_Place" caption="Place" columnCount="2" rowHeight="247650"/>
  <slicer name="Products 1" xr10:uid="{510A3420-6F97-4CF2-93FB-D95FE4A17F0E}" cache="Slicer_Products" caption="Products" columnCoun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EEA9701A-0D78-4AE9-9DD0-225EFE026603}" cache="Slicer_Place" caption="Place" columnCount="2" rowHeight="247650"/>
  <slicer name="Products 2" xr10:uid="{DABCDAA8-76BC-446A-9A4F-7926D68A9EAC}" cache="Slicer_Products" caption="Products" columnCount="6"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015DA874-7E81-4212-814D-BDFAD5A4AC21}" cache="Slicer_Place" caption="Place" columnCount="2" rowHeight="247650"/>
  <slicer name="Products 3" xr10:uid="{B6EE346A-6480-4AFD-ADD6-024CF7BA7DE1}" cache="Slicer_Products" caption="Products" columnCount="6"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0244F424-B455-4E7E-A295-92B774CE4923}" cache="Slicer_Place" caption="Place" columnCount="2" rowHeight="247650"/>
  <slicer name="Products 4" xr10:uid="{AF4F08F8-070B-40F5-BC0F-03EFDAA42BB7}" cache="Slicer_Products" caption="Products" columnCount="6"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7EFDBE3-AB94-4022-B533-496B2BBB2C93}"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 tabId="3" name="PivotTable14"/>
  </pivotTables>
  <state minimalRefreshVersion="6" lastRefreshVersion="6" pivotCacheId="2031383332"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44EE2849-6C7F-4FDB-8974-2C6CF658AAA8}" cache="NativeTimeline_Date" caption="Date" showTimeLevel="0" showHorizontalScrollbar="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745EE6F2-C9CD-42F3-BA99-CE7AF0FC33BB}" cache="NativeTimeline_Date" caption="Date" showTimeLevel="0" showHorizontalScrollbar="0" level="2" selectionLevel="2"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95A2342C-BF00-4A2D-A01F-E845F13FC203}" cache="NativeTimeline_Date" caption="Date" showTimeLevel="0" showHorizontalScrollbar="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16A5D7C6-D433-47DC-8CA1-3CC417213B4D}" cache="NativeTimeline_Date" caption="Date" showTimeLevel="0" showHorizontalScrollbar="0" level="2" selectionLevel="2" scrollPosition="2020-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zoomScale="94" workbookViewId="0">
      <selection activeCell="D12" sqref="A1:G279"/>
    </sheetView>
  </sheetViews>
  <sheetFormatPr defaultRowHeight="14.4" x14ac:dyDescent="0.3"/>
  <cols>
    <col min="1" max="1" width="11.88671875" bestFit="1" customWidth="1"/>
    <col min="2" max="2" width="16.21875" bestFit="1" customWidth="1"/>
    <col min="3" max="3" width="11.6640625" bestFit="1" customWidth="1"/>
    <col min="4" max="4" width="11.5546875" bestFit="1" customWidth="1"/>
    <col min="5" max="5" width="7" bestFit="1" customWidth="1"/>
    <col min="6" max="6" width="6.88671875" bestFit="1" customWidth="1"/>
    <col min="7" max="7" width="10.5546875" bestFit="1" customWidth="1"/>
  </cols>
  <sheetData>
    <row r="1" spans="1:7" ht="18" x14ac:dyDescent="0.35">
      <c r="A1" s="1" t="s">
        <v>0</v>
      </c>
      <c r="B1" s="2" t="s">
        <v>1</v>
      </c>
      <c r="C1" s="2" t="s">
        <v>2</v>
      </c>
      <c r="D1" s="2" t="s">
        <v>3</v>
      </c>
      <c r="E1" s="2" t="s">
        <v>4</v>
      </c>
      <c r="F1" s="2" t="s">
        <v>5</v>
      </c>
      <c r="G1" s="2" t="s">
        <v>6</v>
      </c>
    </row>
    <row r="2" spans="1:7" ht="15.6" x14ac:dyDescent="0.3">
      <c r="A2" s="3">
        <v>43831</v>
      </c>
      <c r="B2" s="4" t="s">
        <v>7</v>
      </c>
      <c r="C2" s="4" t="s">
        <v>8</v>
      </c>
      <c r="D2" s="4" t="s">
        <v>9</v>
      </c>
      <c r="E2" s="4">
        <v>499</v>
      </c>
      <c r="F2" s="4">
        <v>50</v>
      </c>
      <c r="G2" s="5">
        <f>E2*F2</f>
        <v>24950</v>
      </c>
    </row>
    <row r="3" spans="1:7" ht="15.6" x14ac:dyDescent="0.3">
      <c r="A3" s="6">
        <v>43835</v>
      </c>
      <c r="B3" s="7" t="s">
        <v>10</v>
      </c>
      <c r="C3" s="7" t="s">
        <v>8</v>
      </c>
      <c r="D3" s="7" t="s">
        <v>11</v>
      </c>
      <c r="E3" s="7">
        <v>5599</v>
      </c>
      <c r="F3" s="7">
        <v>33</v>
      </c>
      <c r="G3" s="8">
        <f t="shared" ref="G3:G66" si="0">E3*F3</f>
        <v>184767</v>
      </c>
    </row>
    <row r="4" spans="1:7" ht="15.6" x14ac:dyDescent="0.3">
      <c r="A4" s="3">
        <v>43839</v>
      </c>
      <c r="B4" s="4" t="s">
        <v>12</v>
      </c>
      <c r="C4" s="4" t="s">
        <v>13</v>
      </c>
      <c r="D4" s="4" t="s">
        <v>14</v>
      </c>
      <c r="E4" s="4">
        <v>1450</v>
      </c>
      <c r="F4" s="4">
        <v>44</v>
      </c>
      <c r="G4" s="5">
        <f t="shared" si="0"/>
        <v>63800</v>
      </c>
    </row>
    <row r="5" spans="1:7" ht="15.6" x14ac:dyDescent="0.3">
      <c r="A5" s="6">
        <v>43843</v>
      </c>
      <c r="B5" s="7" t="s">
        <v>15</v>
      </c>
      <c r="C5" s="7" t="s">
        <v>16</v>
      </c>
      <c r="D5" s="7" t="s">
        <v>9</v>
      </c>
      <c r="E5" s="7">
        <v>85000</v>
      </c>
      <c r="F5" s="7">
        <v>50</v>
      </c>
      <c r="G5" s="8">
        <f>E5*F5</f>
        <v>4250000</v>
      </c>
    </row>
    <row r="6" spans="1:7" ht="15.6" x14ac:dyDescent="0.3">
      <c r="A6" s="3">
        <v>43847</v>
      </c>
      <c r="B6" s="4" t="s">
        <v>15</v>
      </c>
      <c r="C6" s="4" t="s">
        <v>17</v>
      </c>
      <c r="D6" s="4" t="s">
        <v>18</v>
      </c>
      <c r="E6" s="4">
        <v>15000</v>
      </c>
      <c r="F6" s="4">
        <v>11</v>
      </c>
      <c r="G6" s="5">
        <f t="shared" si="0"/>
        <v>165000</v>
      </c>
    </row>
    <row r="7" spans="1:7" ht="15.6" x14ac:dyDescent="0.3">
      <c r="A7" s="6">
        <v>43851</v>
      </c>
      <c r="B7" s="7" t="s">
        <v>10</v>
      </c>
      <c r="C7" s="7" t="s">
        <v>8</v>
      </c>
      <c r="D7" s="7" t="s">
        <v>18</v>
      </c>
      <c r="E7" s="7">
        <v>2550</v>
      </c>
      <c r="F7" s="7">
        <v>48</v>
      </c>
      <c r="G7" s="8">
        <f t="shared" si="0"/>
        <v>122400</v>
      </c>
    </row>
    <row r="8" spans="1:7" ht="15.6" x14ac:dyDescent="0.3">
      <c r="A8" s="3">
        <v>43855</v>
      </c>
      <c r="B8" s="4" t="s">
        <v>19</v>
      </c>
      <c r="C8" s="4" t="s">
        <v>20</v>
      </c>
      <c r="D8" s="4" t="s">
        <v>14</v>
      </c>
      <c r="E8" s="4">
        <v>33000</v>
      </c>
      <c r="F8" s="4">
        <v>26</v>
      </c>
      <c r="G8" s="5">
        <f t="shared" si="0"/>
        <v>858000</v>
      </c>
    </row>
    <row r="9" spans="1:7" ht="15.6" x14ac:dyDescent="0.3">
      <c r="A9" s="6">
        <v>43859</v>
      </c>
      <c r="B9" s="7" t="s">
        <v>7</v>
      </c>
      <c r="C9" s="7" t="s">
        <v>16</v>
      </c>
      <c r="D9" s="7" t="s">
        <v>21</v>
      </c>
      <c r="E9" s="7">
        <v>86000</v>
      </c>
      <c r="F9" s="7">
        <v>39</v>
      </c>
      <c r="G9" s="8">
        <f t="shared" si="0"/>
        <v>3354000</v>
      </c>
    </row>
    <row r="10" spans="1:7" ht="15.6" x14ac:dyDescent="0.3">
      <c r="A10" s="3">
        <v>43863</v>
      </c>
      <c r="B10" s="4" t="s">
        <v>12</v>
      </c>
      <c r="C10" s="4" t="s">
        <v>22</v>
      </c>
      <c r="D10" s="4" t="s">
        <v>18</v>
      </c>
      <c r="E10" s="4">
        <v>990</v>
      </c>
      <c r="F10" s="4">
        <v>9</v>
      </c>
      <c r="G10" s="5">
        <f t="shared" si="0"/>
        <v>8910</v>
      </c>
    </row>
    <row r="11" spans="1:7" ht="15.6" x14ac:dyDescent="0.3">
      <c r="A11" s="6">
        <v>43867</v>
      </c>
      <c r="B11" s="7" t="s">
        <v>7</v>
      </c>
      <c r="C11" s="7" t="s">
        <v>8</v>
      </c>
      <c r="D11" s="7" t="s">
        <v>9</v>
      </c>
      <c r="E11" s="7">
        <v>5599</v>
      </c>
      <c r="F11" s="7">
        <v>41</v>
      </c>
      <c r="G11" s="8">
        <f t="shared" si="0"/>
        <v>229559</v>
      </c>
    </row>
    <row r="12" spans="1:7" ht="15.6" x14ac:dyDescent="0.3">
      <c r="A12" s="3">
        <v>43871</v>
      </c>
      <c r="B12" s="4" t="s">
        <v>19</v>
      </c>
      <c r="C12" s="4" t="s">
        <v>20</v>
      </c>
      <c r="D12" s="4" t="s">
        <v>14</v>
      </c>
      <c r="E12" s="4">
        <v>499</v>
      </c>
      <c r="F12" s="4">
        <v>39</v>
      </c>
      <c r="G12" s="5">
        <f t="shared" si="0"/>
        <v>19461</v>
      </c>
    </row>
    <row r="13" spans="1:7" ht="15.6" x14ac:dyDescent="0.3">
      <c r="A13" s="6">
        <v>43875</v>
      </c>
      <c r="B13" s="7" t="s">
        <v>10</v>
      </c>
      <c r="C13" s="7" t="s">
        <v>22</v>
      </c>
      <c r="D13" s="7" t="s">
        <v>9</v>
      </c>
      <c r="E13" s="7">
        <v>1999</v>
      </c>
      <c r="F13" s="7">
        <v>4</v>
      </c>
      <c r="G13" s="8">
        <f t="shared" si="0"/>
        <v>7996</v>
      </c>
    </row>
    <row r="14" spans="1:7" ht="15.6" x14ac:dyDescent="0.3">
      <c r="A14" s="3">
        <v>43879</v>
      </c>
      <c r="B14" s="4" t="s">
        <v>15</v>
      </c>
      <c r="C14" s="4" t="s">
        <v>16</v>
      </c>
      <c r="D14" s="4" t="s">
        <v>9</v>
      </c>
      <c r="E14" s="4">
        <v>63400</v>
      </c>
      <c r="F14" s="4">
        <v>8</v>
      </c>
      <c r="G14" s="5">
        <f t="shared" si="0"/>
        <v>507200</v>
      </c>
    </row>
    <row r="15" spans="1:7" ht="15.6" x14ac:dyDescent="0.3">
      <c r="A15" s="6">
        <v>43883</v>
      </c>
      <c r="B15" s="7" t="s">
        <v>23</v>
      </c>
      <c r="C15" s="7" t="s">
        <v>22</v>
      </c>
      <c r="D15" s="7" t="s">
        <v>18</v>
      </c>
      <c r="E15" s="7">
        <v>1499</v>
      </c>
      <c r="F15" s="7">
        <v>27</v>
      </c>
      <c r="G15" s="8">
        <f t="shared" si="0"/>
        <v>40473</v>
      </c>
    </row>
    <row r="16" spans="1:7" ht="15.6" x14ac:dyDescent="0.3">
      <c r="A16" s="3">
        <v>43887</v>
      </c>
      <c r="B16" s="4" t="s">
        <v>15</v>
      </c>
      <c r="C16" s="4" t="s">
        <v>17</v>
      </c>
      <c r="D16" s="4" t="s">
        <v>14</v>
      </c>
      <c r="E16" s="4">
        <v>120</v>
      </c>
      <c r="F16" s="4">
        <v>10</v>
      </c>
      <c r="G16" s="5">
        <f t="shared" si="0"/>
        <v>1200</v>
      </c>
    </row>
    <row r="17" spans="1:7" ht="15.6" x14ac:dyDescent="0.3">
      <c r="A17" s="6">
        <v>43891</v>
      </c>
      <c r="B17" s="7" t="s">
        <v>10</v>
      </c>
      <c r="C17" s="7" t="s">
        <v>20</v>
      </c>
      <c r="D17" s="7" t="s">
        <v>21</v>
      </c>
      <c r="E17" s="7">
        <v>11999</v>
      </c>
      <c r="F17" s="7">
        <v>17</v>
      </c>
      <c r="G17" s="8">
        <f t="shared" si="0"/>
        <v>203983</v>
      </c>
    </row>
    <row r="18" spans="1:7" ht="15.6" x14ac:dyDescent="0.3">
      <c r="A18" s="3">
        <v>43895</v>
      </c>
      <c r="B18" s="4" t="s">
        <v>12</v>
      </c>
      <c r="C18" s="4" t="s">
        <v>16</v>
      </c>
      <c r="D18" s="4" t="s">
        <v>11</v>
      </c>
      <c r="E18" s="4">
        <v>47500</v>
      </c>
      <c r="F18" s="4">
        <v>27</v>
      </c>
      <c r="G18" s="5">
        <f t="shared" si="0"/>
        <v>1282500</v>
      </c>
    </row>
    <row r="19" spans="1:7" ht="15.6" x14ac:dyDescent="0.3">
      <c r="A19" s="6">
        <v>43899</v>
      </c>
      <c r="B19" s="7" t="s">
        <v>19</v>
      </c>
      <c r="C19" s="7" t="s">
        <v>20</v>
      </c>
      <c r="D19" s="7" t="s">
        <v>11</v>
      </c>
      <c r="E19" s="7">
        <v>2999</v>
      </c>
      <c r="F19" s="7">
        <v>43</v>
      </c>
      <c r="G19" s="8">
        <f t="shared" si="0"/>
        <v>128957</v>
      </c>
    </row>
    <row r="20" spans="1:7" ht="15.6" x14ac:dyDescent="0.3">
      <c r="A20" s="3">
        <v>43903</v>
      </c>
      <c r="B20" s="4" t="s">
        <v>15</v>
      </c>
      <c r="C20" s="4" t="s">
        <v>17</v>
      </c>
      <c r="D20" s="4" t="s">
        <v>11</v>
      </c>
      <c r="E20" s="4">
        <v>8900</v>
      </c>
      <c r="F20" s="4">
        <v>9</v>
      </c>
      <c r="G20" s="5">
        <f t="shared" si="0"/>
        <v>80100</v>
      </c>
    </row>
    <row r="21" spans="1:7" ht="15.6" x14ac:dyDescent="0.3">
      <c r="A21" s="6">
        <v>43907</v>
      </c>
      <c r="B21" s="7" t="s">
        <v>10</v>
      </c>
      <c r="C21" s="7" t="s">
        <v>20</v>
      </c>
      <c r="D21" s="7" t="s">
        <v>9</v>
      </c>
      <c r="E21" s="7">
        <v>22000</v>
      </c>
      <c r="F21" s="7">
        <v>42</v>
      </c>
      <c r="G21" s="8">
        <f t="shared" si="0"/>
        <v>924000</v>
      </c>
    </row>
    <row r="22" spans="1:7" ht="15.6" x14ac:dyDescent="0.3">
      <c r="A22" s="3">
        <v>43911</v>
      </c>
      <c r="B22" s="4" t="s">
        <v>12</v>
      </c>
      <c r="C22" s="4" t="s">
        <v>13</v>
      </c>
      <c r="D22" s="4" t="s">
        <v>11</v>
      </c>
      <c r="E22" s="4">
        <v>1250</v>
      </c>
      <c r="F22" s="4">
        <v>6</v>
      </c>
      <c r="G22" s="5">
        <f t="shared" si="0"/>
        <v>7500</v>
      </c>
    </row>
    <row r="23" spans="1:7" ht="15.6" x14ac:dyDescent="0.3">
      <c r="A23" s="6">
        <v>43915</v>
      </c>
      <c r="B23" s="7" t="s">
        <v>15</v>
      </c>
      <c r="C23" s="7" t="s">
        <v>17</v>
      </c>
      <c r="D23" s="7" t="s">
        <v>18</v>
      </c>
      <c r="E23" s="7">
        <v>999</v>
      </c>
      <c r="F23" s="7">
        <v>28</v>
      </c>
      <c r="G23" s="8">
        <f t="shared" si="0"/>
        <v>27972</v>
      </c>
    </row>
    <row r="24" spans="1:7" ht="15.6" x14ac:dyDescent="0.3">
      <c r="A24" s="3">
        <v>43919</v>
      </c>
      <c r="B24" s="4" t="s">
        <v>19</v>
      </c>
      <c r="C24" s="4" t="s">
        <v>13</v>
      </c>
      <c r="D24" s="4" t="s">
        <v>21</v>
      </c>
      <c r="E24" s="4">
        <v>1450</v>
      </c>
      <c r="F24" s="4">
        <v>13</v>
      </c>
      <c r="G24" s="5">
        <f t="shared" si="0"/>
        <v>18850</v>
      </c>
    </row>
    <row r="25" spans="1:7" ht="15.6" x14ac:dyDescent="0.3">
      <c r="A25" s="6">
        <v>43923</v>
      </c>
      <c r="B25" s="7" t="s">
        <v>19</v>
      </c>
      <c r="C25" s="7" t="s">
        <v>13</v>
      </c>
      <c r="D25" s="7" t="s">
        <v>14</v>
      </c>
      <c r="E25" s="7">
        <v>23999</v>
      </c>
      <c r="F25" s="7">
        <v>8</v>
      </c>
      <c r="G25" s="8">
        <f t="shared" si="0"/>
        <v>191992</v>
      </c>
    </row>
    <row r="26" spans="1:7" ht="15.6" x14ac:dyDescent="0.3">
      <c r="A26" s="3">
        <v>43927</v>
      </c>
      <c r="B26" s="4" t="s">
        <v>10</v>
      </c>
      <c r="C26" s="4" t="s">
        <v>16</v>
      </c>
      <c r="D26" s="4" t="s">
        <v>21</v>
      </c>
      <c r="E26" s="4">
        <v>65200</v>
      </c>
      <c r="F26" s="4">
        <v>7</v>
      </c>
      <c r="G26" s="5">
        <f t="shared" si="0"/>
        <v>456400</v>
      </c>
    </row>
    <row r="27" spans="1:7" ht="15.6" x14ac:dyDescent="0.3">
      <c r="A27" s="6">
        <v>43931</v>
      </c>
      <c r="B27" s="7" t="s">
        <v>10</v>
      </c>
      <c r="C27" s="7" t="s">
        <v>22</v>
      </c>
      <c r="D27" s="7" t="s">
        <v>11</v>
      </c>
      <c r="E27" s="7">
        <v>699</v>
      </c>
      <c r="F27" s="7">
        <v>45</v>
      </c>
      <c r="G27" s="8">
        <f t="shared" si="0"/>
        <v>31455</v>
      </c>
    </row>
    <row r="28" spans="1:7" ht="15.6" x14ac:dyDescent="0.3">
      <c r="A28" s="3">
        <v>43935</v>
      </c>
      <c r="B28" s="4" t="s">
        <v>7</v>
      </c>
      <c r="C28" s="4" t="s">
        <v>8</v>
      </c>
      <c r="D28" s="4" t="s">
        <v>9</v>
      </c>
      <c r="E28" s="4">
        <v>2550</v>
      </c>
      <c r="F28" s="4">
        <v>22</v>
      </c>
      <c r="G28" s="5">
        <f t="shared" si="0"/>
        <v>56100</v>
      </c>
    </row>
    <row r="29" spans="1:7" ht="15.6" x14ac:dyDescent="0.3">
      <c r="A29" s="6">
        <v>43939</v>
      </c>
      <c r="B29" s="7" t="s">
        <v>12</v>
      </c>
      <c r="C29" s="7" t="s">
        <v>20</v>
      </c>
      <c r="D29" s="7" t="s">
        <v>21</v>
      </c>
      <c r="E29" s="7">
        <v>22000</v>
      </c>
      <c r="F29" s="7">
        <v>4</v>
      </c>
      <c r="G29" s="8">
        <f t="shared" si="0"/>
        <v>88000</v>
      </c>
    </row>
    <row r="30" spans="1:7" ht="15.6" x14ac:dyDescent="0.3">
      <c r="A30" s="3">
        <v>43943</v>
      </c>
      <c r="B30" s="4" t="s">
        <v>19</v>
      </c>
      <c r="C30" s="4" t="s">
        <v>16</v>
      </c>
      <c r="D30" s="4" t="s">
        <v>9</v>
      </c>
      <c r="E30" s="4">
        <v>22000</v>
      </c>
      <c r="F30" s="4">
        <v>10</v>
      </c>
      <c r="G30" s="5">
        <f t="shared" si="0"/>
        <v>220000</v>
      </c>
    </row>
    <row r="31" spans="1:7" ht="15.6" x14ac:dyDescent="0.3">
      <c r="A31" s="6">
        <v>43947</v>
      </c>
      <c r="B31" s="7" t="s">
        <v>23</v>
      </c>
      <c r="C31" s="7" t="s">
        <v>22</v>
      </c>
      <c r="D31" s="7" t="s">
        <v>18</v>
      </c>
      <c r="E31" s="7">
        <v>1499</v>
      </c>
      <c r="F31" s="7">
        <v>16</v>
      </c>
      <c r="G31" s="8">
        <f t="shared" si="0"/>
        <v>23984</v>
      </c>
    </row>
    <row r="32" spans="1:7" ht="15.6" x14ac:dyDescent="0.3">
      <c r="A32" s="3">
        <v>43951</v>
      </c>
      <c r="B32" s="4" t="s">
        <v>10</v>
      </c>
      <c r="C32" s="4" t="s">
        <v>17</v>
      </c>
      <c r="D32" s="4" t="s">
        <v>21</v>
      </c>
      <c r="E32" s="4">
        <v>120</v>
      </c>
      <c r="F32" s="4">
        <v>22</v>
      </c>
      <c r="G32" s="5">
        <f t="shared" si="0"/>
        <v>2640</v>
      </c>
    </row>
    <row r="33" spans="1:7" ht="15.6" x14ac:dyDescent="0.3">
      <c r="A33" s="6">
        <v>43955</v>
      </c>
      <c r="B33" s="7" t="s">
        <v>7</v>
      </c>
      <c r="C33" s="7" t="s">
        <v>8</v>
      </c>
      <c r="D33" s="7" t="s">
        <v>14</v>
      </c>
      <c r="E33" s="7">
        <v>1450</v>
      </c>
      <c r="F33" s="7">
        <v>20</v>
      </c>
      <c r="G33" s="8">
        <f t="shared" si="0"/>
        <v>29000</v>
      </c>
    </row>
    <row r="34" spans="1:7" ht="15.6" x14ac:dyDescent="0.3">
      <c r="A34" s="3">
        <v>43959</v>
      </c>
      <c r="B34" s="4" t="s">
        <v>23</v>
      </c>
      <c r="C34" s="4" t="s">
        <v>22</v>
      </c>
      <c r="D34" s="4" t="s">
        <v>18</v>
      </c>
      <c r="E34" s="4">
        <v>1999</v>
      </c>
      <c r="F34" s="4">
        <v>23</v>
      </c>
      <c r="G34" s="5">
        <f t="shared" si="0"/>
        <v>45977</v>
      </c>
    </row>
    <row r="35" spans="1:7" ht="15.6" x14ac:dyDescent="0.3">
      <c r="A35" s="6">
        <v>43963</v>
      </c>
      <c r="B35" s="7" t="s">
        <v>10</v>
      </c>
      <c r="C35" s="7" t="s">
        <v>8</v>
      </c>
      <c r="D35" s="7" t="s">
        <v>9</v>
      </c>
      <c r="E35" s="7">
        <v>800</v>
      </c>
      <c r="F35" s="7">
        <v>43</v>
      </c>
      <c r="G35" s="8">
        <f t="shared" si="0"/>
        <v>34400</v>
      </c>
    </row>
    <row r="36" spans="1:7" ht="15.6" x14ac:dyDescent="0.3">
      <c r="A36" s="3">
        <v>43967</v>
      </c>
      <c r="B36" s="4" t="s">
        <v>12</v>
      </c>
      <c r="C36" s="4" t="s">
        <v>17</v>
      </c>
      <c r="D36" s="4" t="s">
        <v>18</v>
      </c>
      <c r="E36" s="4">
        <v>18000</v>
      </c>
      <c r="F36" s="4">
        <v>41</v>
      </c>
      <c r="G36" s="5">
        <f t="shared" si="0"/>
        <v>738000</v>
      </c>
    </row>
    <row r="37" spans="1:7" ht="15.6" x14ac:dyDescent="0.3">
      <c r="A37" s="6">
        <v>43971</v>
      </c>
      <c r="B37" s="7" t="s">
        <v>7</v>
      </c>
      <c r="C37" s="7" t="s">
        <v>8</v>
      </c>
      <c r="D37" s="7" t="s">
        <v>11</v>
      </c>
      <c r="E37" s="7">
        <v>13999</v>
      </c>
      <c r="F37" s="7">
        <v>37</v>
      </c>
      <c r="G37" s="8">
        <f t="shared" si="0"/>
        <v>517963</v>
      </c>
    </row>
    <row r="38" spans="1:7" ht="15.6" x14ac:dyDescent="0.3">
      <c r="A38" s="3">
        <v>43975</v>
      </c>
      <c r="B38" s="4" t="s">
        <v>10</v>
      </c>
      <c r="C38" s="4" t="s">
        <v>20</v>
      </c>
      <c r="D38" s="4" t="s">
        <v>18</v>
      </c>
      <c r="E38" s="4">
        <v>22000</v>
      </c>
      <c r="F38" s="4">
        <v>45</v>
      </c>
      <c r="G38" s="5">
        <f t="shared" si="0"/>
        <v>990000</v>
      </c>
    </row>
    <row r="39" spans="1:7" ht="15.6" x14ac:dyDescent="0.3">
      <c r="A39" s="6">
        <v>43979</v>
      </c>
      <c r="B39" s="7" t="s">
        <v>19</v>
      </c>
      <c r="C39" s="7" t="s">
        <v>16</v>
      </c>
      <c r="D39" s="7" t="s">
        <v>9</v>
      </c>
      <c r="E39" s="7">
        <v>89999</v>
      </c>
      <c r="F39" s="7">
        <v>15</v>
      </c>
      <c r="G39" s="8">
        <f t="shared" si="0"/>
        <v>1349985</v>
      </c>
    </row>
    <row r="40" spans="1:7" ht="15.6" x14ac:dyDescent="0.3">
      <c r="A40" s="3">
        <v>43983</v>
      </c>
      <c r="B40" s="4" t="s">
        <v>7</v>
      </c>
      <c r="C40" s="4" t="s">
        <v>8</v>
      </c>
      <c r="D40" s="4" t="s">
        <v>14</v>
      </c>
      <c r="E40" s="4">
        <v>13999</v>
      </c>
      <c r="F40" s="4">
        <v>22</v>
      </c>
      <c r="G40" s="5">
        <f t="shared" si="0"/>
        <v>307978</v>
      </c>
    </row>
    <row r="41" spans="1:7" ht="15.6" x14ac:dyDescent="0.3">
      <c r="A41" s="6">
        <v>43987</v>
      </c>
      <c r="B41" s="7" t="s">
        <v>12</v>
      </c>
      <c r="C41" s="7" t="s">
        <v>22</v>
      </c>
      <c r="D41" s="7" t="s">
        <v>11</v>
      </c>
      <c r="E41" s="7">
        <v>2900</v>
      </c>
      <c r="F41" s="7">
        <v>20</v>
      </c>
      <c r="G41" s="8">
        <f t="shared" si="0"/>
        <v>58000</v>
      </c>
    </row>
    <row r="42" spans="1:7" ht="15.6" x14ac:dyDescent="0.3">
      <c r="A42" s="3">
        <v>43991</v>
      </c>
      <c r="B42" s="4" t="s">
        <v>10</v>
      </c>
      <c r="C42" s="4" t="s">
        <v>20</v>
      </c>
      <c r="D42" s="4" t="s">
        <v>18</v>
      </c>
      <c r="E42" s="4">
        <v>33000</v>
      </c>
      <c r="F42" s="4">
        <v>16</v>
      </c>
      <c r="G42" s="5">
        <f t="shared" si="0"/>
        <v>528000</v>
      </c>
    </row>
    <row r="43" spans="1:7" ht="15.6" x14ac:dyDescent="0.3">
      <c r="A43" s="6">
        <v>43995</v>
      </c>
      <c r="B43" s="7" t="s">
        <v>12</v>
      </c>
      <c r="C43" s="7" t="s">
        <v>20</v>
      </c>
      <c r="D43" s="7" t="s">
        <v>11</v>
      </c>
      <c r="E43" s="7">
        <v>22000</v>
      </c>
      <c r="F43" s="7">
        <v>17</v>
      </c>
      <c r="G43" s="8">
        <f t="shared" si="0"/>
        <v>374000</v>
      </c>
    </row>
    <row r="44" spans="1:7" ht="15.6" x14ac:dyDescent="0.3">
      <c r="A44" s="3">
        <v>43999</v>
      </c>
      <c r="B44" s="4" t="s">
        <v>23</v>
      </c>
      <c r="C44" s="4" t="s">
        <v>22</v>
      </c>
      <c r="D44" s="4" t="s">
        <v>11</v>
      </c>
      <c r="E44" s="4">
        <v>699</v>
      </c>
      <c r="F44" s="4">
        <v>50</v>
      </c>
      <c r="G44" s="5">
        <f t="shared" si="0"/>
        <v>34950</v>
      </c>
    </row>
    <row r="45" spans="1:7" ht="15.6" x14ac:dyDescent="0.3">
      <c r="A45" s="6">
        <v>44003</v>
      </c>
      <c r="B45" s="7" t="s">
        <v>19</v>
      </c>
      <c r="C45" s="7" t="s">
        <v>20</v>
      </c>
      <c r="D45" s="7" t="s">
        <v>14</v>
      </c>
      <c r="E45" s="7">
        <v>499</v>
      </c>
      <c r="F45" s="7">
        <v>4</v>
      </c>
      <c r="G45" s="8">
        <f t="shared" si="0"/>
        <v>1996</v>
      </c>
    </row>
    <row r="46" spans="1:7" ht="15.6" x14ac:dyDescent="0.3">
      <c r="A46" s="3">
        <v>44007</v>
      </c>
      <c r="B46" s="4" t="s">
        <v>10</v>
      </c>
      <c r="C46" s="4" t="s">
        <v>22</v>
      </c>
      <c r="D46" s="4" t="s">
        <v>18</v>
      </c>
      <c r="E46" s="4">
        <v>590</v>
      </c>
      <c r="F46" s="4">
        <v>43</v>
      </c>
      <c r="G46" s="5">
        <f t="shared" si="0"/>
        <v>25370</v>
      </c>
    </row>
    <row r="47" spans="1:7" ht="15.6" x14ac:dyDescent="0.3">
      <c r="A47" s="6">
        <v>44011</v>
      </c>
      <c r="B47" s="7" t="s">
        <v>23</v>
      </c>
      <c r="C47" s="7" t="s">
        <v>22</v>
      </c>
      <c r="D47" s="7" t="s">
        <v>11</v>
      </c>
      <c r="E47" s="7">
        <v>590</v>
      </c>
      <c r="F47" s="7">
        <v>42</v>
      </c>
      <c r="G47" s="8">
        <f t="shared" si="0"/>
        <v>24780</v>
      </c>
    </row>
    <row r="48" spans="1:7" ht="15.6" x14ac:dyDescent="0.3">
      <c r="A48" s="3">
        <v>44015</v>
      </c>
      <c r="B48" s="4" t="s">
        <v>10</v>
      </c>
      <c r="C48" s="4" t="s">
        <v>16</v>
      </c>
      <c r="D48" s="4" t="s">
        <v>9</v>
      </c>
      <c r="E48" s="4">
        <v>120</v>
      </c>
      <c r="F48" s="4">
        <v>9</v>
      </c>
      <c r="G48" s="5">
        <f t="shared" si="0"/>
        <v>1080</v>
      </c>
    </row>
    <row r="49" spans="1:7" ht="15.6" x14ac:dyDescent="0.3">
      <c r="A49" s="6">
        <v>44019</v>
      </c>
      <c r="B49" s="7" t="s">
        <v>19</v>
      </c>
      <c r="C49" s="7" t="s">
        <v>20</v>
      </c>
      <c r="D49" s="7" t="s">
        <v>21</v>
      </c>
      <c r="E49" s="7">
        <v>52000</v>
      </c>
      <c r="F49" s="7">
        <v>40</v>
      </c>
      <c r="G49" s="8">
        <f t="shared" si="0"/>
        <v>2080000</v>
      </c>
    </row>
    <row r="50" spans="1:7" ht="15.6" x14ac:dyDescent="0.3">
      <c r="A50" s="3">
        <v>44023</v>
      </c>
      <c r="B50" s="4" t="s">
        <v>12</v>
      </c>
      <c r="C50" s="4" t="s">
        <v>13</v>
      </c>
      <c r="D50" s="4" t="s">
        <v>18</v>
      </c>
      <c r="E50" s="4">
        <v>7999</v>
      </c>
      <c r="F50" s="4">
        <v>14</v>
      </c>
      <c r="G50" s="5">
        <f t="shared" si="0"/>
        <v>111986</v>
      </c>
    </row>
    <row r="51" spans="1:7" ht="15.6" x14ac:dyDescent="0.3">
      <c r="A51" s="6">
        <v>44027</v>
      </c>
      <c r="B51" s="7" t="s">
        <v>10</v>
      </c>
      <c r="C51" s="7" t="s">
        <v>13</v>
      </c>
      <c r="D51" s="7" t="s">
        <v>21</v>
      </c>
      <c r="E51" s="7">
        <v>550</v>
      </c>
      <c r="F51" s="7">
        <v>9</v>
      </c>
      <c r="G51" s="8">
        <f t="shared" si="0"/>
        <v>4950</v>
      </c>
    </row>
    <row r="52" spans="1:7" ht="15.6" x14ac:dyDescent="0.3">
      <c r="A52" s="3">
        <v>44031</v>
      </c>
      <c r="B52" s="4" t="s">
        <v>12</v>
      </c>
      <c r="C52" s="4" t="s">
        <v>16</v>
      </c>
      <c r="D52" s="4" t="s">
        <v>18</v>
      </c>
      <c r="E52" s="4">
        <v>79999</v>
      </c>
      <c r="F52" s="4">
        <v>10</v>
      </c>
      <c r="G52" s="5">
        <f t="shared" si="0"/>
        <v>799990</v>
      </c>
    </row>
    <row r="53" spans="1:7" ht="15.6" x14ac:dyDescent="0.3">
      <c r="A53" s="6">
        <v>44035</v>
      </c>
      <c r="B53" s="7" t="s">
        <v>23</v>
      </c>
      <c r="C53" s="7" t="s">
        <v>22</v>
      </c>
      <c r="D53" s="7" t="s">
        <v>18</v>
      </c>
      <c r="E53" s="7">
        <v>1999</v>
      </c>
      <c r="F53" s="7">
        <v>37</v>
      </c>
      <c r="G53" s="8">
        <f t="shared" si="0"/>
        <v>73963</v>
      </c>
    </row>
    <row r="54" spans="1:7" ht="15.6" x14ac:dyDescent="0.3">
      <c r="A54" s="3">
        <v>44039</v>
      </c>
      <c r="B54" s="4" t="s">
        <v>19</v>
      </c>
      <c r="C54" s="4" t="s">
        <v>20</v>
      </c>
      <c r="D54" s="4" t="s">
        <v>14</v>
      </c>
      <c r="E54" s="4">
        <v>89999</v>
      </c>
      <c r="F54" s="4">
        <v>29</v>
      </c>
      <c r="G54" s="5">
        <f t="shared" si="0"/>
        <v>2609971</v>
      </c>
    </row>
    <row r="55" spans="1:7" ht="15.6" x14ac:dyDescent="0.3">
      <c r="A55" s="6">
        <v>44043</v>
      </c>
      <c r="B55" s="7" t="s">
        <v>10</v>
      </c>
      <c r="C55" s="7" t="s">
        <v>16</v>
      </c>
      <c r="D55" s="7" t="s">
        <v>18</v>
      </c>
      <c r="E55" s="7">
        <v>78500</v>
      </c>
      <c r="F55" s="7">
        <v>44</v>
      </c>
      <c r="G55" s="8">
        <f t="shared" si="0"/>
        <v>3454000</v>
      </c>
    </row>
    <row r="56" spans="1:7" ht="15.6" x14ac:dyDescent="0.3">
      <c r="A56" s="3">
        <v>44047</v>
      </c>
      <c r="B56" s="4" t="s">
        <v>19</v>
      </c>
      <c r="C56" s="4" t="s">
        <v>20</v>
      </c>
      <c r="D56" s="4" t="s">
        <v>11</v>
      </c>
      <c r="E56" s="4">
        <v>3990</v>
      </c>
      <c r="F56" s="4">
        <v>31</v>
      </c>
      <c r="G56" s="5">
        <f t="shared" si="0"/>
        <v>123690</v>
      </c>
    </row>
    <row r="57" spans="1:7" ht="15.6" x14ac:dyDescent="0.3">
      <c r="A57" s="6">
        <v>44051</v>
      </c>
      <c r="B57" s="7" t="s">
        <v>12</v>
      </c>
      <c r="C57" s="7" t="s">
        <v>20</v>
      </c>
      <c r="D57" s="7" t="s">
        <v>18</v>
      </c>
      <c r="E57" s="7">
        <v>52000</v>
      </c>
      <c r="F57" s="7">
        <v>29</v>
      </c>
      <c r="G57" s="8">
        <f t="shared" si="0"/>
        <v>1508000</v>
      </c>
    </row>
    <row r="58" spans="1:7" ht="15.6" x14ac:dyDescent="0.3">
      <c r="A58" s="3">
        <v>44055</v>
      </c>
      <c r="B58" s="4" t="s">
        <v>7</v>
      </c>
      <c r="C58" s="4" t="s">
        <v>16</v>
      </c>
      <c r="D58" s="4" t="s">
        <v>18</v>
      </c>
      <c r="E58" s="4">
        <v>13999</v>
      </c>
      <c r="F58" s="4">
        <v>34</v>
      </c>
      <c r="G58" s="5">
        <f t="shared" si="0"/>
        <v>475966</v>
      </c>
    </row>
    <row r="59" spans="1:7" ht="15.6" x14ac:dyDescent="0.3">
      <c r="A59" s="6">
        <v>44059</v>
      </c>
      <c r="B59" s="7" t="s">
        <v>10</v>
      </c>
      <c r="C59" s="7" t="s">
        <v>17</v>
      </c>
      <c r="D59" s="7" t="s">
        <v>11</v>
      </c>
      <c r="E59" s="7">
        <v>120</v>
      </c>
      <c r="F59" s="7">
        <v>29</v>
      </c>
      <c r="G59" s="8">
        <f t="shared" si="0"/>
        <v>3480</v>
      </c>
    </row>
    <row r="60" spans="1:7" ht="15.6" x14ac:dyDescent="0.3">
      <c r="A60" s="3">
        <v>44063</v>
      </c>
      <c r="B60" s="4" t="s">
        <v>19</v>
      </c>
      <c r="C60" s="4" t="s">
        <v>13</v>
      </c>
      <c r="D60" s="4" t="s">
        <v>11</v>
      </c>
      <c r="E60" s="4">
        <v>23999</v>
      </c>
      <c r="F60" s="4">
        <v>25</v>
      </c>
      <c r="G60" s="5">
        <f t="shared" si="0"/>
        <v>599975</v>
      </c>
    </row>
    <row r="61" spans="1:7" ht="15.6" x14ac:dyDescent="0.3">
      <c r="A61" s="6">
        <v>44067</v>
      </c>
      <c r="B61" s="7" t="s">
        <v>19</v>
      </c>
      <c r="C61" s="7" t="s">
        <v>16</v>
      </c>
      <c r="D61" s="7" t="s">
        <v>18</v>
      </c>
      <c r="E61" s="7">
        <v>45000</v>
      </c>
      <c r="F61" s="7">
        <v>31</v>
      </c>
      <c r="G61" s="8">
        <f t="shared" si="0"/>
        <v>1395000</v>
      </c>
    </row>
    <row r="62" spans="1:7" ht="15.6" x14ac:dyDescent="0.3">
      <c r="A62" s="3">
        <v>44071</v>
      </c>
      <c r="B62" s="4" t="s">
        <v>10</v>
      </c>
      <c r="C62" s="4" t="s">
        <v>22</v>
      </c>
      <c r="D62" s="4" t="s">
        <v>11</v>
      </c>
      <c r="E62" s="4">
        <v>450</v>
      </c>
      <c r="F62" s="4">
        <v>16</v>
      </c>
      <c r="G62" s="5">
        <f t="shared" si="0"/>
        <v>7200</v>
      </c>
    </row>
    <row r="63" spans="1:7" ht="15.6" x14ac:dyDescent="0.3">
      <c r="A63" s="6">
        <v>44075</v>
      </c>
      <c r="B63" s="7" t="s">
        <v>15</v>
      </c>
      <c r="C63" s="7" t="s">
        <v>17</v>
      </c>
      <c r="D63" s="7" t="s">
        <v>18</v>
      </c>
      <c r="E63" s="7">
        <v>65000</v>
      </c>
      <c r="F63" s="7">
        <v>48</v>
      </c>
      <c r="G63" s="8">
        <f t="shared" si="0"/>
        <v>3120000</v>
      </c>
    </row>
    <row r="64" spans="1:7" ht="15.6" x14ac:dyDescent="0.3">
      <c r="A64" s="3">
        <v>44079</v>
      </c>
      <c r="B64" s="4" t="s">
        <v>12</v>
      </c>
      <c r="C64" s="4" t="s">
        <v>16</v>
      </c>
      <c r="D64" s="4" t="s">
        <v>21</v>
      </c>
      <c r="E64" s="4">
        <v>35600</v>
      </c>
      <c r="F64" s="4">
        <v>22</v>
      </c>
      <c r="G64" s="5">
        <f t="shared" si="0"/>
        <v>783200</v>
      </c>
    </row>
    <row r="65" spans="1:7" ht="15.6" x14ac:dyDescent="0.3">
      <c r="A65" s="6">
        <v>44083</v>
      </c>
      <c r="B65" s="7" t="s">
        <v>23</v>
      </c>
      <c r="C65" s="7" t="s">
        <v>22</v>
      </c>
      <c r="D65" s="7" t="s">
        <v>14</v>
      </c>
      <c r="E65" s="7">
        <v>699</v>
      </c>
      <c r="F65" s="7">
        <v>6</v>
      </c>
      <c r="G65" s="8">
        <f t="shared" si="0"/>
        <v>4194</v>
      </c>
    </row>
    <row r="66" spans="1:7" ht="15.6" x14ac:dyDescent="0.3">
      <c r="A66" s="3">
        <v>44087</v>
      </c>
      <c r="B66" s="4" t="s">
        <v>10</v>
      </c>
      <c r="C66" s="4" t="s">
        <v>22</v>
      </c>
      <c r="D66" s="4" t="s">
        <v>11</v>
      </c>
      <c r="E66" s="4">
        <v>990</v>
      </c>
      <c r="F66" s="4">
        <v>12</v>
      </c>
      <c r="G66" s="5">
        <f t="shared" si="0"/>
        <v>11880</v>
      </c>
    </row>
    <row r="67" spans="1:7" ht="15.6" x14ac:dyDescent="0.3">
      <c r="A67" s="6">
        <v>44091</v>
      </c>
      <c r="B67" s="7" t="s">
        <v>23</v>
      </c>
      <c r="C67" s="7" t="s">
        <v>16</v>
      </c>
      <c r="D67" s="7" t="s">
        <v>9</v>
      </c>
      <c r="E67" s="7">
        <v>450</v>
      </c>
      <c r="F67" s="7">
        <v>44</v>
      </c>
      <c r="G67" s="8">
        <f t="shared" ref="G67:G130" si="1">E67*F67</f>
        <v>19800</v>
      </c>
    </row>
    <row r="68" spans="1:7" ht="15.6" x14ac:dyDescent="0.3">
      <c r="A68" s="3">
        <v>44095</v>
      </c>
      <c r="B68" s="4" t="s">
        <v>23</v>
      </c>
      <c r="C68" s="4" t="s">
        <v>22</v>
      </c>
      <c r="D68" s="4" t="s">
        <v>14</v>
      </c>
      <c r="E68" s="4">
        <v>1499</v>
      </c>
      <c r="F68" s="4">
        <v>15</v>
      </c>
      <c r="G68" s="5">
        <f t="shared" si="1"/>
        <v>22485</v>
      </c>
    </row>
    <row r="69" spans="1:7" ht="15.6" x14ac:dyDescent="0.3">
      <c r="A69" s="6">
        <v>44099</v>
      </c>
      <c r="B69" s="7" t="s">
        <v>7</v>
      </c>
      <c r="C69" s="7" t="s">
        <v>8</v>
      </c>
      <c r="D69" s="7" t="s">
        <v>21</v>
      </c>
      <c r="E69" s="7">
        <v>499</v>
      </c>
      <c r="F69" s="7">
        <v>26</v>
      </c>
      <c r="G69" s="8">
        <f t="shared" si="1"/>
        <v>12974</v>
      </c>
    </row>
    <row r="70" spans="1:7" ht="15.6" x14ac:dyDescent="0.3">
      <c r="A70" s="3">
        <v>44103</v>
      </c>
      <c r="B70" s="4" t="s">
        <v>12</v>
      </c>
      <c r="C70" s="4" t="s">
        <v>16</v>
      </c>
      <c r="D70" s="4" t="s">
        <v>21</v>
      </c>
      <c r="E70" s="4">
        <v>44000</v>
      </c>
      <c r="F70" s="4">
        <v>16</v>
      </c>
      <c r="G70" s="5">
        <f t="shared" si="1"/>
        <v>704000</v>
      </c>
    </row>
    <row r="71" spans="1:7" ht="15.6" x14ac:dyDescent="0.3">
      <c r="A71" s="6">
        <v>44107</v>
      </c>
      <c r="B71" s="7" t="s">
        <v>7</v>
      </c>
      <c r="C71" s="7" t="s">
        <v>8</v>
      </c>
      <c r="D71" s="7" t="s">
        <v>18</v>
      </c>
      <c r="E71" s="7">
        <v>5599</v>
      </c>
      <c r="F71" s="7">
        <v>35</v>
      </c>
      <c r="G71" s="8">
        <f t="shared" si="1"/>
        <v>195965</v>
      </c>
    </row>
    <row r="72" spans="1:7" ht="15.6" x14ac:dyDescent="0.3">
      <c r="A72" s="3">
        <v>44111</v>
      </c>
      <c r="B72" s="4" t="s">
        <v>15</v>
      </c>
      <c r="C72" s="4" t="s">
        <v>16</v>
      </c>
      <c r="D72" s="4" t="s">
        <v>9</v>
      </c>
      <c r="E72" s="4">
        <v>54100</v>
      </c>
      <c r="F72" s="4">
        <v>36</v>
      </c>
      <c r="G72" s="5">
        <f t="shared" si="1"/>
        <v>1947600</v>
      </c>
    </row>
    <row r="73" spans="1:7" ht="15.6" x14ac:dyDescent="0.3">
      <c r="A73" s="6">
        <v>44115</v>
      </c>
      <c r="B73" s="7" t="s">
        <v>7</v>
      </c>
      <c r="C73" s="7" t="s">
        <v>8</v>
      </c>
      <c r="D73" s="7" t="s">
        <v>14</v>
      </c>
      <c r="E73" s="7">
        <v>2550</v>
      </c>
      <c r="F73" s="7">
        <v>20</v>
      </c>
      <c r="G73" s="8">
        <f t="shared" si="1"/>
        <v>51000</v>
      </c>
    </row>
    <row r="74" spans="1:7" ht="15.6" x14ac:dyDescent="0.3">
      <c r="A74" s="3">
        <v>44119</v>
      </c>
      <c r="B74" s="4" t="s">
        <v>10</v>
      </c>
      <c r="C74" s="4" t="s">
        <v>16</v>
      </c>
      <c r="D74" s="4" t="s">
        <v>14</v>
      </c>
      <c r="E74" s="4">
        <v>1450</v>
      </c>
      <c r="F74" s="4">
        <v>47</v>
      </c>
      <c r="G74" s="5">
        <f t="shared" si="1"/>
        <v>68150</v>
      </c>
    </row>
    <row r="75" spans="1:7" ht="15.6" x14ac:dyDescent="0.3">
      <c r="A75" s="6">
        <v>44123</v>
      </c>
      <c r="B75" s="7" t="s">
        <v>23</v>
      </c>
      <c r="C75" s="7" t="s">
        <v>22</v>
      </c>
      <c r="D75" s="7" t="s">
        <v>18</v>
      </c>
      <c r="E75" s="7">
        <v>2900</v>
      </c>
      <c r="F75" s="7">
        <v>6</v>
      </c>
      <c r="G75" s="8">
        <f t="shared" si="1"/>
        <v>17400</v>
      </c>
    </row>
    <row r="76" spans="1:7" ht="15.6" x14ac:dyDescent="0.3">
      <c r="A76" s="3">
        <v>44127</v>
      </c>
      <c r="B76" s="4" t="s">
        <v>15</v>
      </c>
      <c r="C76" s="4" t="s">
        <v>16</v>
      </c>
      <c r="D76" s="4" t="s">
        <v>21</v>
      </c>
      <c r="E76" s="4">
        <v>65200</v>
      </c>
      <c r="F76" s="4">
        <v>6</v>
      </c>
      <c r="G76" s="5">
        <f t="shared" si="1"/>
        <v>391200</v>
      </c>
    </row>
    <row r="77" spans="1:7" ht="15.6" x14ac:dyDescent="0.3">
      <c r="A77" s="6">
        <v>44131</v>
      </c>
      <c r="B77" s="7" t="s">
        <v>10</v>
      </c>
      <c r="C77" s="7" t="s">
        <v>20</v>
      </c>
      <c r="D77" s="7" t="s">
        <v>21</v>
      </c>
      <c r="E77" s="7">
        <v>52000</v>
      </c>
      <c r="F77" s="7">
        <v>41</v>
      </c>
      <c r="G77" s="8">
        <f t="shared" si="1"/>
        <v>2132000</v>
      </c>
    </row>
    <row r="78" spans="1:7" ht="15.6" x14ac:dyDescent="0.3">
      <c r="A78" s="3">
        <v>44135</v>
      </c>
      <c r="B78" s="4" t="s">
        <v>12</v>
      </c>
      <c r="C78" s="4" t="s">
        <v>16</v>
      </c>
      <c r="D78" s="4" t="s">
        <v>11</v>
      </c>
      <c r="E78" s="4">
        <v>59000</v>
      </c>
      <c r="F78" s="4">
        <v>29</v>
      </c>
      <c r="G78" s="5">
        <f t="shared" si="1"/>
        <v>1711000</v>
      </c>
    </row>
    <row r="79" spans="1:7" ht="15.6" x14ac:dyDescent="0.3">
      <c r="A79" s="6">
        <v>44139</v>
      </c>
      <c r="B79" s="7" t="s">
        <v>19</v>
      </c>
      <c r="C79" s="7" t="s">
        <v>13</v>
      </c>
      <c r="D79" s="7" t="s">
        <v>21</v>
      </c>
      <c r="E79" s="7">
        <v>7999</v>
      </c>
      <c r="F79" s="7">
        <v>31</v>
      </c>
      <c r="G79" s="8">
        <f t="shared" si="1"/>
        <v>247969</v>
      </c>
    </row>
    <row r="80" spans="1:7" ht="15.6" x14ac:dyDescent="0.3">
      <c r="A80" s="3">
        <v>44143</v>
      </c>
      <c r="B80" s="4" t="s">
        <v>10</v>
      </c>
      <c r="C80" s="4" t="s">
        <v>17</v>
      </c>
      <c r="D80" s="4" t="s">
        <v>11</v>
      </c>
      <c r="E80" s="4">
        <v>45000</v>
      </c>
      <c r="F80" s="4">
        <v>34</v>
      </c>
      <c r="G80" s="5">
        <f t="shared" si="1"/>
        <v>1530000</v>
      </c>
    </row>
    <row r="81" spans="1:7" ht="15.6" x14ac:dyDescent="0.3">
      <c r="A81" s="6">
        <v>44147</v>
      </c>
      <c r="B81" s="7" t="s">
        <v>23</v>
      </c>
      <c r="C81" s="7" t="s">
        <v>22</v>
      </c>
      <c r="D81" s="7" t="s">
        <v>9</v>
      </c>
      <c r="E81" s="7">
        <v>990</v>
      </c>
      <c r="F81" s="7">
        <v>43</v>
      </c>
      <c r="G81" s="8">
        <f t="shared" si="1"/>
        <v>42570</v>
      </c>
    </row>
    <row r="82" spans="1:7" ht="15.6" x14ac:dyDescent="0.3">
      <c r="A82" s="3">
        <v>44151</v>
      </c>
      <c r="B82" s="4" t="s">
        <v>19</v>
      </c>
      <c r="C82" s="4" t="s">
        <v>20</v>
      </c>
      <c r="D82" s="4" t="s">
        <v>9</v>
      </c>
      <c r="E82" s="4">
        <v>11999</v>
      </c>
      <c r="F82" s="4">
        <v>37</v>
      </c>
      <c r="G82" s="5">
        <f t="shared" si="1"/>
        <v>443963</v>
      </c>
    </row>
    <row r="83" spans="1:7" ht="15.6" x14ac:dyDescent="0.3">
      <c r="A83" s="6">
        <v>44155</v>
      </c>
      <c r="B83" s="7" t="s">
        <v>19</v>
      </c>
      <c r="C83" s="7" t="s">
        <v>13</v>
      </c>
      <c r="D83" s="7" t="s">
        <v>9</v>
      </c>
      <c r="E83" s="7">
        <v>960</v>
      </c>
      <c r="F83" s="7">
        <v>7</v>
      </c>
      <c r="G83" s="8">
        <f t="shared" si="1"/>
        <v>6720</v>
      </c>
    </row>
    <row r="84" spans="1:7" ht="15.6" x14ac:dyDescent="0.3">
      <c r="A84" s="3">
        <v>44159</v>
      </c>
      <c r="B84" s="4" t="s">
        <v>10</v>
      </c>
      <c r="C84" s="4" t="s">
        <v>8</v>
      </c>
      <c r="D84" s="4" t="s">
        <v>14</v>
      </c>
      <c r="E84" s="4">
        <v>1450</v>
      </c>
      <c r="F84" s="4">
        <v>19</v>
      </c>
      <c r="G84" s="5">
        <f t="shared" si="1"/>
        <v>27550</v>
      </c>
    </row>
    <row r="85" spans="1:7" ht="15.6" x14ac:dyDescent="0.3">
      <c r="A85" s="6">
        <v>44163</v>
      </c>
      <c r="B85" s="7" t="s">
        <v>12</v>
      </c>
      <c r="C85" s="7" t="s">
        <v>16</v>
      </c>
      <c r="D85" s="7" t="s">
        <v>11</v>
      </c>
      <c r="E85" s="7">
        <v>45000</v>
      </c>
      <c r="F85" s="7">
        <v>47</v>
      </c>
      <c r="G85" s="8">
        <f t="shared" si="1"/>
        <v>2115000</v>
      </c>
    </row>
    <row r="86" spans="1:7" ht="15.6" x14ac:dyDescent="0.3">
      <c r="A86" s="3">
        <v>44167</v>
      </c>
      <c r="B86" s="4" t="s">
        <v>10</v>
      </c>
      <c r="C86" s="4" t="s">
        <v>22</v>
      </c>
      <c r="D86" s="4" t="s">
        <v>11</v>
      </c>
      <c r="E86" s="4">
        <v>1499</v>
      </c>
      <c r="F86" s="4">
        <v>37</v>
      </c>
      <c r="G86" s="5">
        <f t="shared" si="1"/>
        <v>55463</v>
      </c>
    </row>
    <row r="87" spans="1:7" ht="15.6" x14ac:dyDescent="0.3">
      <c r="A87" s="6">
        <v>44171</v>
      </c>
      <c r="B87" s="7" t="s">
        <v>19</v>
      </c>
      <c r="C87" s="7" t="s">
        <v>20</v>
      </c>
      <c r="D87" s="7" t="s">
        <v>14</v>
      </c>
      <c r="E87" s="7">
        <v>79999</v>
      </c>
      <c r="F87" s="7">
        <v>4</v>
      </c>
      <c r="G87" s="8">
        <f t="shared" si="1"/>
        <v>319996</v>
      </c>
    </row>
    <row r="88" spans="1:7" ht="15.6" x14ac:dyDescent="0.3">
      <c r="A88" s="3">
        <v>44175</v>
      </c>
      <c r="B88" s="4" t="s">
        <v>15</v>
      </c>
      <c r="C88" s="4" t="s">
        <v>16</v>
      </c>
      <c r="D88" s="4" t="s">
        <v>21</v>
      </c>
      <c r="E88" s="4">
        <v>999</v>
      </c>
      <c r="F88" s="4">
        <v>45</v>
      </c>
      <c r="G88" s="5">
        <f t="shared" si="1"/>
        <v>44955</v>
      </c>
    </row>
    <row r="89" spans="1:7" ht="15.6" x14ac:dyDescent="0.3">
      <c r="A89" s="6">
        <v>44179</v>
      </c>
      <c r="B89" s="7" t="s">
        <v>10</v>
      </c>
      <c r="C89" s="7" t="s">
        <v>20</v>
      </c>
      <c r="D89" s="7" t="s">
        <v>9</v>
      </c>
      <c r="E89" s="7">
        <v>52000</v>
      </c>
      <c r="F89" s="7">
        <v>15</v>
      </c>
      <c r="G89" s="8">
        <f t="shared" si="1"/>
        <v>780000</v>
      </c>
    </row>
    <row r="90" spans="1:7" ht="15.6" x14ac:dyDescent="0.3">
      <c r="A90" s="3">
        <v>44183</v>
      </c>
      <c r="B90" s="4" t="s">
        <v>12</v>
      </c>
      <c r="C90" s="4" t="s">
        <v>16</v>
      </c>
      <c r="D90" s="4" t="s">
        <v>18</v>
      </c>
      <c r="E90" s="4">
        <v>52000</v>
      </c>
      <c r="F90" s="4">
        <v>39</v>
      </c>
      <c r="G90" s="5">
        <f t="shared" si="1"/>
        <v>2028000</v>
      </c>
    </row>
    <row r="91" spans="1:7" ht="15.6" x14ac:dyDescent="0.3">
      <c r="A91" s="6">
        <v>44187</v>
      </c>
      <c r="B91" s="7" t="s">
        <v>19</v>
      </c>
      <c r="C91" s="7" t="s">
        <v>13</v>
      </c>
      <c r="D91" s="7" t="s">
        <v>14</v>
      </c>
      <c r="E91" s="7">
        <v>960</v>
      </c>
      <c r="F91" s="7">
        <v>33</v>
      </c>
      <c r="G91" s="8">
        <f t="shared" si="1"/>
        <v>31680</v>
      </c>
    </row>
    <row r="92" spans="1:7" ht="15.6" x14ac:dyDescent="0.3">
      <c r="A92" s="3">
        <v>44191</v>
      </c>
      <c r="B92" s="4" t="s">
        <v>19</v>
      </c>
      <c r="C92" s="4" t="s">
        <v>16</v>
      </c>
      <c r="D92" s="4" t="s">
        <v>18</v>
      </c>
      <c r="E92" s="4">
        <v>19500</v>
      </c>
      <c r="F92" s="4">
        <v>45</v>
      </c>
      <c r="G92" s="5">
        <f t="shared" si="1"/>
        <v>877500</v>
      </c>
    </row>
    <row r="93" spans="1:7" ht="15.6" x14ac:dyDescent="0.3">
      <c r="A93" s="6">
        <v>44195</v>
      </c>
      <c r="B93" s="7" t="s">
        <v>19</v>
      </c>
      <c r="C93" s="7" t="s">
        <v>20</v>
      </c>
      <c r="D93" s="7" t="s">
        <v>18</v>
      </c>
      <c r="E93" s="7">
        <v>2999</v>
      </c>
      <c r="F93" s="7">
        <v>33</v>
      </c>
      <c r="G93" s="8">
        <f t="shared" si="1"/>
        <v>98967</v>
      </c>
    </row>
    <row r="94" spans="1:7" ht="15.6" x14ac:dyDescent="0.3">
      <c r="A94" s="3">
        <v>44199</v>
      </c>
      <c r="B94" s="4" t="s">
        <v>10</v>
      </c>
      <c r="C94" s="4" t="s">
        <v>13</v>
      </c>
      <c r="D94" s="4" t="s">
        <v>21</v>
      </c>
      <c r="E94" s="4">
        <v>1250</v>
      </c>
      <c r="F94" s="4">
        <v>14</v>
      </c>
      <c r="G94" s="5">
        <f t="shared" si="1"/>
        <v>17500</v>
      </c>
    </row>
    <row r="95" spans="1:7" ht="15.6" x14ac:dyDescent="0.3">
      <c r="A95" s="6">
        <v>44203</v>
      </c>
      <c r="B95" s="7" t="s">
        <v>10</v>
      </c>
      <c r="C95" s="7" t="s">
        <v>17</v>
      </c>
      <c r="D95" s="7" t="s">
        <v>9</v>
      </c>
      <c r="E95" s="7">
        <v>120</v>
      </c>
      <c r="F95" s="7">
        <v>41</v>
      </c>
      <c r="G95" s="8">
        <f t="shared" si="1"/>
        <v>4920</v>
      </c>
    </row>
    <row r="96" spans="1:7" ht="15.6" x14ac:dyDescent="0.3">
      <c r="A96" s="3">
        <v>44207</v>
      </c>
      <c r="B96" s="4" t="s">
        <v>12</v>
      </c>
      <c r="C96" s="4" t="s">
        <v>8</v>
      </c>
      <c r="D96" s="4" t="s">
        <v>18</v>
      </c>
      <c r="E96" s="4">
        <v>1450</v>
      </c>
      <c r="F96" s="4">
        <v>22</v>
      </c>
      <c r="G96" s="5">
        <f t="shared" si="1"/>
        <v>31900</v>
      </c>
    </row>
    <row r="97" spans="1:7" ht="15.6" x14ac:dyDescent="0.3">
      <c r="A97" s="6">
        <v>44211</v>
      </c>
      <c r="B97" s="7" t="s">
        <v>19</v>
      </c>
      <c r="C97" s="7" t="s">
        <v>20</v>
      </c>
      <c r="D97" s="7" t="s">
        <v>9</v>
      </c>
      <c r="E97" s="7">
        <v>89999</v>
      </c>
      <c r="F97" s="7">
        <v>15</v>
      </c>
      <c r="G97" s="8">
        <f t="shared" si="1"/>
        <v>1349985</v>
      </c>
    </row>
    <row r="98" spans="1:7" ht="15.6" x14ac:dyDescent="0.3">
      <c r="A98" s="3">
        <v>44215</v>
      </c>
      <c r="B98" s="4" t="s">
        <v>23</v>
      </c>
      <c r="C98" s="4" t="s">
        <v>16</v>
      </c>
      <c r="D98" s="4" t="s">
        <v>14</v>
      </c>
      <c r="E98" s="4">
        <v>1999</v>
      </c>
      <c r="F98" s="4">
        <v>48</v>
      </c>
      <c r="G98" s="5">
        <f t="shared" si="1"/>
        <v>95952</v>
      </c>
    </row>
    <row r="99" spans="1:7" ht="15.6" x14ac:dyDescent="0.3">
      <c r="A99" s="6">
        <v>44219</v>
      </c>
      <c r="B99" s="7" t="s">
        <v>23</v>
      </c>
      <c r="C99" s="7" t="s">
        <v>22</v>
      </c>
      <c r="D99" s="7" t="s">
        <v>18</v>
      </c>
      <c r="E99" s="7">
        <v>2900</v>
      </c>
      <c r="F99" s="7">
        <v>49</v>
      </c>
      <c r="G99" s="8">
        <f t="shared" si="1"/>
        <v>142100</v>
      </c>
    </row>
    <row r="100" spans="1:7" ht="15.6" x14ac:dyDescent="0.3">
      <c r="A100" s="3">
        <v>44223</v>
      </c>
      <c r="B100" s="4" t="s">
        <v>19</v>
      </c>
      <c r="C100" s="4" t="s">
        <v>20</v>
      </c>
      <c r="D100" s="4" t="s">
        <v>21</v>
      </c>
      <c r="E100" s="4">
        <v>700</v>
      </c>
      <c r="F100" s="4">
        <v>50</v>
      </c>
      <c r="G100" s="5">
        <f t="shared" si="1"/>
        <v>35000</v>
      </c>
    </row>
    <row r="101" spans="1:7" ht="15.6" x14ac:dyDescent="0.3">
      <c r="A101" s="6">
        <v>44227</v>
      </c>
      <c r="B101" s="7" t="s">
        <v>15</v>
      </c>
      <c r="C101" s="7" t="s">
        <v>17</v>
      </c>
      <c r="D101" s="7" t="s">
        <v>18</v>
      </c>
      <c r="E101" s="7">
        <v>200</v>
      </c>
      <c r="F101" s="7">
        <v>41</v>
      </c>
      <c r="G101" s="8">
        <f t="shared" si="1"/>
        <v>8200</v>
      </c>
    </row>
    <row r="102" spans="1:7" ht="15.6" x14ac:dyDescent="0.3">
      <c r="A102" s="3">
        <v>44231</v>
      </c>
      <c r="B102" s="4" t="s">
        <v>12</v>
      </c>
      <c r="C102" s="4" t="s">
        <v>16</v>
      </c>
      <c r="D102" s="4" t="s">
        <v>11</v>
      </c>
      <c r="E102" s="4">
        <v>49000</v>
      </c>
      <c r="F102" s="4">
        <v>29</v>
      </c>
      <c r="G102" s="5">
        <f t="shared" si="1"/>
        <v>1421000</v>
      </c>
    </row>
    <row r="103" spans="1:7" ht="15.6" x14ac:dyDescent="0.3">
      <c r="A103" s="6">
        <v>44235</v>
      </c>
      <c r="B103" s="7" t="s">
        <v>7</v>
      </c>
      <c r="C103" s="7" t="s">
        <v>8</v>
      </c>
      <c r="D103" s="7" t="s">
        <v>21</v>
      </c>
      <c r="E103" s="7">
        <v>5599</v>
      </c>
      <c r="F103" s="7">
        <v>36</v>
      </c>
      <c r="G103" s="8">
        <f t="shared" si="1"/>
        <v>201564</v>
      </c>
    </row>
    <row r="104" spans="1:7" ht="15.6" x14ac:dyDescent="0.3">
      <c r="A104" s="3">
        <v>44239</v>
      </c>
      <c r="B104" s="4" t="s">
        <v>15</v>
      </c>
      <c r="C104" s="4" t="s">
        <v>17</v>
      </c>
      <c r="D104" s="4" t="s">
        <v>18</v>
      </c>
      <c r="E104" s="4">
        <v>13500</v>
      </c>
      <c r="F104" s="4">
        <v>39</v>
      </c>
      <c r="G104" s="5">
        <f t="shared" si="1"/>
        <v>526500</v>
      </c>
    </row>
    <row r="105" spans="1:7" ht="15.6" x14ac:dyDescent="0.3">
      <c r="A105" s="6">
        <v>44243</v>
      </c>
      <c r="B105" s="7" t="s">
        <v>12</v>
      </c>
      <c r="C105" s="7" t="s">
        <v>20</v>
      </c>
      <c r="D105" s="7" t="s">
        <v>18</v>
      </c>
      <c r="E105" s="7">
        <v>79999</v>
      </c>
      <c r="F105" s="7">
        <v>9</v>
      </c>
      <c r="G105" s="8">
        <f t="shared" si="1"/>
        <v>719991</v>
      </c>
    </row>
    <row r="106" spans="1:7" ht="15.6" x14ac:dyDescent="0.3">
      <c r="A106" s="3">
        <v>44247</v>
      </c>
      <c r="B106" s="4" t="s">
        <v>19</v>
      </c>
      <c r="C106" s="4" t="s">
        <v>16</v>
      </c>
      <c r="D106" s="4" t="s">
        <v>14</v>
      </c>
      <c r="E106" s="4">
        <v>75200</v>
      </c>
      <c r="F106" s="4">
        <v>38</v>
      </c>
      <c r="G106" s="5">
        <f t="shared" si="1"/>
        <v>2857600</v>
      </c>
    </row>
    <row r="107" spans="1:7" ht="15.6" x14ac:dyDescent="0.3">
      <c r="A107" s="6">
        <v>44251</v>
      </c>
      <c r="B107" s="7" t="s">
        <v>19</v>
      </c>
      <c r="C107" s="7" t="s">
        <v>13</v>
      </c>
      <c r="D107" s="7" t="s">
        <v>9</v>
      </c>
      <c r="E107" s="7">
        <v>550</v>
      </c>
      <c r="F107" s="7">
        <v>25</v>
      </c>
      <c r="G107" s="8">
        <f t="shared" si="1"/>
        <v>13750</v>
      </c>
    </row>
    <row r="108" spans="1:7" ht="15.6" x14ac:dyDescent="0.3">
      <c r="A108" s="3">
        <v>44255</v>
      </c>
      <c r="B108" s="4" t="s">
        <v>7</v>
      </c>
      <c r="C108" s="4" t="s">
        <v>8</v>
      </c>
      <c r="D108" s="4" t="s">
        <v>9</v>
      </c>
      <c r="E108" s="4">
        <v>499</v>
      </c>
      <c r="F108" s="4">
        <v>50</v>
      </c>
      <c r="G108" s="5">
        <f t="shared" si="1"/>
        <v>24950</v>
      </c>
    </row>
    <row r="109" spans="1:7" ht="15.6" x14ac:dyDescent="0.3">
      <c r="A109" s="6">
        <v>44259</v>
      </c>
      <c r="B109" s="7" t="s">
        <v>7</v>
      </c>
      <c r="C109" s="7" t="s">
        <v>8</v>
      </c>
      <c r="D109" s="7" t="s">
        <v>11</v>
      </c>
      <c r="E109" s="7">
        <v>5599</v>
      </c>
      <c r="F109" s="7">
        <v>33</v>
      </c>
      <c r="G109" s="8">
        <f t="shared" si="1"/>
        <v>184767</v>
      </c>
    </row>
    <row r="110" spans="1:7" ht="15.6" x14ac:dyDescent="0.3">
      <c r="A110" s="3">
        <v>44263</v>
      </c>
      <c r="B110" s="4" t="s">
        <v>12</v>
      </c>
      <c r="C110" s="4" t="s">
        <v>13</v>
      </c>
      <c r="D110" s="4" t="s">
        <v>14</v>
      </c>
      <c r="E110" s="4">
        <v>1450</v>
      </c>
      <c r="F110" s="4">
        <v>44</v>
      </c>
      <c r="G110" s="5">
        <f t="shared" si="1"/>
        <v>63800</v>
      </c>
    </row>
    <row r="111" spans="1:7" ht="15.6" x14ac:dyDescent="0.3">
      <c r="A111" s="6">
        <v>44267</v>
      </c>
      <c r="B111" s="7" t="s">
        <v>15</v>
      </c>
      <c r="C111" s="7" t="s">
        <v>17</v>
      </c>
      <c r="D111" s="7" t="s">
        <v>9</v>
      </c>
      <c r="E111" s="7">
        <v>999</v>
      </c>
      <c r="F111" s="7">
        <v>31</v>
      </c>
      <c r="G111" s="8">
        <f t="shared" si="1"/>
        <v>30969</v>
      </c>
    </row>
    <row r="112" spans="1:7" ht="15.6" x14ac:dyDescent="0.3">
      <c r="A112" s="3">
        <v>44271</v>
      </c>
      <c r="B112" s="4" t="s">
        <v>15</v>
      </c>
      <c r="C112" s="4" t="s">
        <v>17</v>
      </c>
      <c r="D112" s="4" t="s">
        <v>18</v>
      </c>
      <c r="E112" s="4">
        <v>100</v>
      </c>
      <c r="F112" s="4">
        <v>11</v>
      </c>
      <c r="G112" s="5">
        <f t="shared" si="1"/>
        <v>1100</v>
      </c>
    </row>
    <row r="113" spans="1:7" ht="15.6" x14ac:dyDescent="0.3">
      <c r="A113" s="6">
        <v>44275</v>
      </c>
      <c r="B113" s="7" t="s">
        <v>12</v>
      </c>
      <c r="C113" s="7" t="s">
        <v>8</v>
      </c>
      <c r="D113" s="7" t="s">
        <v>18</v>
      </c>
      <c r="E113" s="7">
        <v>2550</v>
      </c>
      <c r="F113" s="7">
        <v>48</v>
      </c>
      <c r="G113" s="8">
        <f t="shared" si="1"/>
        <v>122400</v>
      </c>
    </row>
    <row r="114" spans="1:7" ht="15.6" x14ac:dyDescent="0.3">
      <c r="A114" s="3">
        <v>44279</v>
      </c>
      <c r="B114" s="4" t="s">
        <v>19</v>
      </c>
      <c r="C114" s="4" t="s">
        <v>20</v>
      </c>
      <c r="D114" s="4" t="s">
        <v>18</v>
      </c>
      <c r="E114" s="4">
        <v>33000</v>
      </c>
      <c r="F114" s="4">
        <v>26</v>
      </c>
      <c r="G114" s="5">
        <f t="shared" si="1"/>
        <v>858000</v>
      </c>
    </row>
    <row r="115" spans="1:7" ht="15.6" x14ac:dyDescent="0.3">
      <c r="A115" s="6">
        <v>44283</v>
      </c>
      <c r="B115" s="7" t="s">
        <v>10</v>
      </c>
      <c r="C115" s="7" t="s">
        <v>8</v>
      </c>
      <c r="D115" s="7" t="s">
        <v>14</v>
      </c>
      <c r="E115" s="7">
        <v>800</v>
      </c>
      <c r="F115" s="7">
        <v>39</v>
      </c>
      <c r="G115" s="8">
        <f t="shared" si="1"/>
        <v>31200</v>
      </c>
    </row>
    <row r="116" spans="1:7" ht="15.6" x14ac:dyDescent="0.3">
      <c r="A116" s="3">
        <v>44287</v>
      </c>
      <c r="B116" s="4" t="s">
        <v>23</v>
      </c>
      <c r="C116" s="4" t="s">
        <v>22</v>
      </c>
      <c r="D116" s="4" t="s">
        <v>14</v>
      </c>
      <c r="E116" s="4">
        <v>990</v>
      </c>
      <c r="F116" s="4">
        <v>9</v>
      </c>
      <c r="G116" s="5">
        <f t="shared" si="1"/>
        <v>8910</v>
      </c>
    </row>
    <row r="117" spans="1:7" ht="15.6" x14ac:dyDescent="0.3">
      <c r="A117" s="6">
        <v>44291</v>
      </c>
      <c r="B117" s="7" t="s">
        <v>7</v>
      </c>
      <c r="C117" s="7" t="s">
        <v>8</v>
      </c>
      <c r="D117" s="7" t="s">
        <v>9</v>
      </c>
      <c r="E117" s="7">
        <v>5599</v>
      </c>
      <c r="F117" s="7">
        <v>41</v>
      </c>
      <c r="G117" s="8">
        <f t="shared" si="1"/>
        <v>229559</v>
      </c>
    </row>
    <row r="118" spans="1:7" ht="15.6" x14ac:dyDescent="0.3">
      <c r="A118" s="3">
        <v>44295</v>
      </c>
      <c r="B118" s="4" t="s">
        <v>19</v>
      </c>
      <c r="C118" s="4" t="s">
        <v>20</v>
      </c>
      <c r="D118" s="4" t="s">
        <v>9</v>
      </c>
      <c r="E118" s="4">
        <v>499</v>
      </c>
      <c r="F118" s="4">
        <v>39</v>
      </c>
      <c r="G118" s="5">
        <f t="shared" si="1"/>
        <v>19461</v>
      </c>
    </row>
    <row r="119" spans="1:7" ht="15.6" x14ac:dyDescent="0.3">
      <c r="A119" s="6">
        <v>44299</v>
      </c>
      <c r="B119" s="7" t="s">
        <v>23</v>
      </c>
      <c r="C119" s="7" t="s">
        <v>22</v>
      </c>
      <c r="D119" s="7" t="s">
        <v>9</v>
      </c>
      <c r="E119" s="7">
        <v>1999</v>
      </c>
      <c r="F119" s="7">
        <v>4</v>
      </c>
      <c r="G119" s="8">
        <f t="shared" si="1"/>
        <v>7996</v>
      </c>
    </row>
    <row r="120" spans="1:7" ht="15.6" x14ac:dyDescent="0.3">
      <c r="A120" s="3">
        <v>44303</v>
      </c>
      <c r="B120" s="4" t="s">
        <v>12</v>
      </c>
      <c r="C120" s="4" t="s">
        <v>17</v>
      </c>
      <c r="D120" s="4" t="s">
        <v>9</v>
      </c>
      <c r="E120" s="4">
        <v>200</v>
      </c>
      <c r="F120" s="4">
        <v>8</v>
      </c>
      <c r="G120" s="5">
        <f t="shared" si="1"/>
        <v>1600</v>
      </c>
    </row>
    <row r="121" spans="1:7" ht="15.6" x14ac:dyDescent="0.3">
      <c r="A121" s="6">
        <v>44307</v>
      </c>
      <c r="B121" s="7" t="s">
        <v>23</v>
      </c>
      <c r="C121" s="7" t="s">
        <v>22</v>
      </c>
      <c r="D121" s="7" t="s">
        <v>14</v>
      </c>
      <c r="E121" s="7">
        <v>1499</v>
      </c>
      <c r="F121" s="7">
        <v>27</v>
      </c>
      <c r="G121" s="8">
        <f t="shared" si="1"/>
        <v>40473</v>
      </c>
    </row>
    <row r="122" spans="1:7" ht="15.6" x14ac:dyDescent="0.3">
      <c r="A122" s="3">
        <v>44311</v>
      </c>
      <c r="B122" s="4" t="s">
        <v>15</v>
      </c>
      <c r="C122" s="4" t="s">
        <v>17</v>
      </c>
      <c r="D122" s="4" t="s">
        <v>21</v>
      </c>
      <c r="E122" s="4">
        <v>120</v>
      </c>
      <c r="F122" s="4">
        <v>10</v>
      </c>
      <c r="G122" s="5">
        <f t="shared" si="1"/>
        <v>1200</v>
      </c>
    </row>
    <row r="123" spans="1:7" ht="15.6" x14ac:dyDescent="0.3">
      <c r="A123" s="6">
        <v>44315</v>
      </c>
      <c r="B123" s="7" t="s">
        <v>10</v>
      </c>
      <c r="C123" s="7" t="s">
        <v>20</v>
      </c>
      <c r="D123" s="7" t="s">
        <v>21</v>
      </c>
      <c r="E123" s="7">
        <v>11999</v>
      </c>
      <c r="F123" s="7">
        <v>17</v>
      </c>
      <c r="G123" s="8">
        <f t="shared" si="1"/>
        <v>203983</v>
      </c>
    </row>
    <row r="124" spans="1:7" ht="15.6" x14ac:dyDescent="0.3">
      <c r="A124" s="3">
        <v>44319</v>
      </c>
      <c r="B124" s="4" t="s">
        <v>10</v>
      </c>
      <c r="C124" s="4" t="s">
        <v>20</v>
      </c>
      <c r="D124" s="4" t="s">
        <v>11</v>
      </c>
      <c r="E124" s="4">
        <v>999</v>
      </c>
      <c r="F124" s="4">
        <v>27</v>
      </c>
      <c r="G124" s="5">
        <f t="shared" si="1"/>
        <v>26973</v>
      </c>
    </row>
    <row r="125" spans="1:7" ht="15.6" x14ac:dyDescent="0.3">
      <c r="A125" s="6">
        <v>44323</v>
      </c>
      <c r="B125" s="7" t="s">
        <v>12</v>
      </c>
      <c r="C125" s="7" t="s">
        <v>20</v>
      </c>
      <c r="D125" s="7" t="s">
        <v>14</v>
      </c>
      <c r="E125" s="7">
        <v>2999</v>
      </c>
      <c r="F125" s="7">
        <v>43</v>
      </c>
      <c r="G125" s="8">
        <f t="shared" si="1"/>
        <v>128957</v>
      </c>
    </row>
    <row r="126" spans="1:7" ht="15.6" x14ac:dyDescent="0.3">
      <c r="A126" s="3">
        <v>44327</v>
      </c>
      <c r="B126" s="4" t="s">
        <v>15</v>
      </c>
      <c r="C126" s="4" t="s">
        <v>16</v>
      </c>
      <c r="D126" s="4" t="s">
        <v>11</v>
      </c>
      <c r="E126" s="4">
        <v>47800</v>
      </c>
      <c r="F126" s="4">
        <v>9</v>
      </c>
      <c r="G126" s="5">
        <f t="shared" si="1"/>
        <v>430200</v>
      </c>
    </row>
    <row r="127" spans="1:7" ht="15.6" x14ac:dyDescent="0.3">
      <c r="A127" s="6">
        <v>44331</v>
      </c>
      <c r="B127" s="7" t="s">
        <v>19</v>
      </c>
      <c r="C127" s="7" t="s">
        <v>16</v>
      </c>
      <c r="D127" s="7" t="s">
        <v>9</v>
      </c>
      <c r="E127" s="7">
        <v>22000</v>
      </c>
      <c r="F127" s="7">
        <v>42</v>
      </c>
      <c r="G127" s="8">
        <f t="shared" si="1"/>
        <v>924000</v>
      </c>
    </row>
    <row r="128" spans="1:7" ht="15.6" x14ac:dyDescent="0.3">
      <c r="A128" s="3">
        <v>44335</v>
      </c>
      <c r="B128" s="4" t="s">
        <v>19</v>
      </c>
      <c r="C128" s="4" t="s">
        <v>13</v>
      </c>
      <c r="D128" s="4" t="s">
        <v>11</v>
      </c>
      <c r="E128" s="4">
        <v>1250</v>
      </c>
      <c r="F128" s="4">
        <v>6</v>
      </c>
      <c r="G128" s="5">
        <f t="shared" si="1"/>
        <v>7500</v>
      </c>
    </row>
    <row r="129" spans="1:7" ht="15.6" x14ac:dyDescent="0.3">
      <c r="A129" s="6">
        <v>44339</v>
      </c>
      <c r="B129" s="7" t="s">
        <v>15</v>
      </c>
      <c r="C129" s="7" t="s">
        <v>17</v>
      </c>
      <c r="D129" s="7" t="s">
        <v>14</v>
      </c>
      <c r="E129" s="7">
        <v>999</v>
      </c>
      <c r="F129" s="7">
        <v>28</v>
      </c>
      <c r="G129" s="8">
        <f t="shared" si="1"/>
        <v>27972</v>
      </c>
    </row>
    <row r="130" spans="1:7" ht="15.6" x14ac:dyDescent="0.3">
      <c r="A130" s="3">
        <v>44343</v>
      </c>
      <c r="B130" s="4" t="s">
        <v>19</v>
      </c>
      <c r="C130" s="4" t="s">
        <v>13</v>
      </c>
      <c r="D130" s="4" t="s">
        <v>21</v>
      </c>
      <c r="E130" s="4">
        <v>1450</v>
      </c>
      <c r="F130" s="4">
        <v>13</v>
      </c>
      <c r="G130" s="5">
        <f t="shared" si="1"/>
        <v>18850</v>
      </c>
    </row>
    <row r="131" spans="1:7" ht="15.6" x14ac:dyDescent="0.3">
      <c r="A131" s="6">
        <v>44347</v>
      </c>
      <c r="B131" s="7" t="s">
        <v>19</v>
      </c>
      <c r="C131" s="7" t="s">
        <v>13</v>
      </c>
      <c r="D131" s="7" t="s">
        <v>21</v>
      </c>
      <c r="E131" s="7">
        <v>23999</v>
      </c>
      <c r="F131" s="7">
        <v>8</v>
      </c>
      <c r="G131" s="8">
        <f t="shared" ref="G131:G194" si="2">E131*F131</f>
        <v>191992</v>
      </c>
    </row>
    <row r="132" spans="1:7" ht="15.6" x14ac:dyDescent="0.3">
      <c r="A132" s="3">
        <v>44351</v>
      </c>
      <c r="B132" s="4" t="s">
        <v>10</v>
      </c>
      <c r="C132" s="4" t="s">
        <v>16</v>
      </c>
      <c r="D132" s="4" t="s">
        <v>21</v>
      </c>
      <c r="E132" s="4">
        <v>92000</v>
      </c>
      <c r="F132" s="4">
        <v>7</v>
      </c>
      <c r="G132" s="5">
        <f t="shared" si="2"/>
        <v>644000</v>
      </c>
    </row>
    <row r="133" spans="1:7" ht="15.6" x14ac:dyDescent="0.3">
      <c r="A133" s="6">
        <v>44355</v>
      </c>
      <c r="B133" s="7" t="s">
        <v>23</v>
      </c>
      <c r="C133" s="7" t="s">
        <v>22</v>
      </c>
      <c r="D133" s="7" t="s">
        <v>14</v>
      </c>
      <c r="E133" s="7">
        <v>699</v>
      </c>
      <c r="F133" s="7">
        <v>45</v>
      </c>
      <c r="G133" s="8">
        <f t="shared" si="2"/>
        <v>31455</v>
      </c>
    </row>
    <row r="134" spans="1:7" ht="15.6" x14ac:dyDescent="0.3">
      <c r="A134" s="3">
        <v>44359</v>
      </c>
      <c r="B134" s="4" t="s">
        <v>7</v>
      </c>
      <c r="C134" s="4" t="s">
        <v>8</v>
      </c>
      <c r="D134" s="4" t="s">
        <v>9</v>
      </c>
      <c r="E134" s="4">
        <v>2550</v>
      </c>
      <c r="F134" s="4">
        <v>22</v>
      </c>
      <c r="G134" s="5">
        <f t="shared" si="2"/>
        <v>56100</v>
      </c>
    </row>
    <row r="135" spans="1:7" ht="15.6" x14ac:dyDescent="0.3">
      <c r="A135" s="6">
        <v>44363</v>
      </c>
      <c r="B135" s="7" t="s">
        <v>12</v>
      </c>
      <c r="C135" s="7" t="s">
        <v>20</v>
      </c>
      <c r="D135" s="7" t="s">
        <v>21</v>
      </c>
      <c r="E135" s="7">
        <v>22000</v>
      </c>
      <c r="F135" s="7">
        <v>4</v>
      </c>
      <c r="G135" s="8">
        <f t="shared" si="2"/>
        <v>88000</v>
      </c>
    </row>
    <row r="136" spans="1:7" ht="15.6" x14ac:dyDescent="0.3">
      <c r="A136" s="3">
        <v>44367</v>
      </c>
      <c r="B136" s="4" t="s">
        <v>19</v>
      </c>
      <c r="C136" s="4" t="s">
        <v>20</v>
      </c>
      <c r="D136" s="4" t="s">
        <v>9</v>
      </c>
      <c r="E136" s="4">
        <v>22000</v>
      </c>
      <c r="F136" s="4">
        <v>10</v>
      </c>
      <c r="G136" s="5">
        <f t="shared" si="2"/>
        <v>220000</v>
      </c>
    </row>
    <row r="137" spans="1:7" ht="15.6" x14ac:dyDescent="0.3">
      <c r="A137" s="6">
        <v>44371</v>
      </c>
      <c r="B137" s="7" t="s">
        <v>10</v>
      </c>
      <c r="C137" s="7" t="s">
        <v>22</v>
      </c>
      <c r="D137" s="7" t="s">
        <v>14</v>
      </c>
      <c r="E137" s="7">
        <v>1499</v>
      </c>
      <c r="F137" s="7">
        <v>16</v>
      </c>
      <c r="G137" s="8">
        <f t="shared" si="2"/>
        <v>23984</v>
      </c>
    </row>
    <row r="138" spans="1:7" ht="15.6" x14ac:dyDescent="0.3">
      <c r="A138" s="3">
        <v>44375</v>
      </c>
      <c r="B138" s="4" t="s">
        <v>15</v>
      </c>
      <c r="C138" s="4" t="s">
        <v>17</v>
      </c>
      <c r="D138" s="4" t="s">
        <v>21</v>
      </c>
      <c r="E138" s="4">
        <v>120</v>
      </c>
      <c r="F138" s="4">
        <v>22</v>
      </c>
      <c r="G138" s="5">
        <f t="shared" si="2"/>
        <v>2640</v>
      </c>
    </row>
    <row r="139" spans="1:7" ht="15.6" x14ac:dyDescent="0.3">
      <c r="A139" s="6">
        <v>44379</v>
      </c>
      <c r="B139" s="7" t="s">
        <v>7</v>
      </c>
      <c r="C139" s="7" t="s">
        <v>8</v>
      </c>
      <c r="D139" s="7" t="s">
        <v>11</v>
      </c>
      <c r="E139" s="7">
        <v>1450</v>
      </c>
      <c r="F139" s="7">
        <v>20</v>
      </c>
      <c r="G139" s="8">
        <f t="shared" si="2"/>
        <v>29000</v>
      </c>
    </row>
    <row r="140" spans="1:7" ht="15.6" x14ac:dyDescent="0.3">
      <c r="A140" s="3">
        <v>44383</v>
      </c>
      <c r="B140" s="4" t="s">
        <v>23</v>
      </c>
      <c r="C140" s="4" t="s">
        <v>22</v>
      </c>
      <c r="D140" s="4" t="s">
        <v>14</v>
      </c>
      <c r="E140" s="4">
        <v>1999</v>
      </c>
      <c r="F140" s="4">
        <v>23</v>
      </c>
      <c r="G140" s="5">
        <f t="shared" si="2"/>
        <v>45977</v>
      </c>
    </row>
    <row r="141" spans="1:7" ht="15.6" x14ac:dyDescent="0.3">
      <c r="A141" s="6">
        <v>44387</v>
      </c>
      <c r="B141" s="7" t="s">
        <v>10</v>
      </c>
      <c r="C141" s="7" t="s">
        <v>8</v>
      </c>
      <c r="D141" s="7" t="s">
        <v>24</v>
      </c>
      <c r="E141" s="7">
        <v>800</v>
      </c>
      <c r="F141" s="7">
        <v>43</v>
      </c>
      <c r="G141" s="8">
        <f t="shared" si="2"/>
        <v>34400</v>
      </c>
    </row>
    <row r="142" spans="1:7" ht="15.6" x14ac:dyDescent="0.3">
      <c r="A142" s="3">
        <v>44391</v>
      </c>
      <c r="B142" s="4" t="s">
        <v>15</v>
      </c>
      <c r="C142" s="4" t="s">
        <v>17</v>
      </c>
      <c r="D142" s="4" t="s">
        <v>21</v>
      </c>
      <c r="E142" s="4">
        <v>100</v>
      </c>
      <c r="F142" s="4">
        <v>41</v>
      </c>
      <c r="G142" s="5">
        <f t="shared" si="2"/>
        <v>4100</v>
      </c>
    </row>
    <row r="143" spans="1:7" ht="15.6" x14ac:dyDescent="0.3">
      <c r="A143" s="6">
        <v>44395</v>
      </c>
      <c r="B143" s="7" t="s">
        <v>7</v>
      </c>
      <c r="C143" s="7" t="s">
        <v>16</v>
      </c>
      <c r="D143" s="7" t="s">
        <v>21</v>
      </c>
      <c r="E143" s="7">
        <v>13999</v>
      </c>
      <c r="F143" s="7">
        <v>37</v>
      </c>
      <c r="G143" s="8">
        <f t="shared" si="2"/>
        <v>517963</v>
      </c>
    </row>
    <row r="144" spans="1:7" ht="15.6" x14ac:dyDescent="0.3">
      <c r="A144" s="3">
        <v>44399</v>
      </c>
      <c r="B144" s="4" t="s">
        <v>12</v>
      </c>
      <c r="C144" s="4" t="s">
        <v>20</v>
      </c>
      <c r="D144" s="4" t="s">
        <v>18</v>
      </c>
      <c r="E144" s="4">
        <v>22000</v>
      </c>
      <c r="F144" s="4">
        <v>45</v>
      </c>
      <c r="G144" s="5">
        <f t="shared" si="2"/>
        <v>990000</v>
      </c>
    </row>
    <row r="145" spans="1:7" ht="15.6" x14ac:dyDescent="0.3">
      <c r="A145" s="6">
        <v>44403</v>
      </c>
      <c r="B145" s="7" t="s">
        <v>19</v>
      </c>
      <c r="C145" s="7" t="s">
        <v>20</v>
      </c>
      <c r="D145" s="7" t="s">
        <v>24</v>
      </c>
      <c r="E145" s="7">
        <v>89999</v>
      </c>
      <c r="F145" s="7">
        <v>15</v>
      </c>
      <c r="G145" s="8">
        <f t="shared" si="2"/>
        <v>1349985</v>
      </c>
    </row>
    <row r="146" spans="1:7" ht="15.6" x14ac:dyDescent="0.3">
      <c r="A146" s="3">
        <v>44407</v>
      </c>
      <c r="B146" s="4" t="s">
        <v>7</v>
      </c>
      <c r="C146" s="4" t="s">
        <v>8</v>
      </c>
      <c r="D146" s="4" t="s">
        <v>18</v>
      </c>
      <c r="E146" s="4">
        <v>13999</v>
      </c>
      <c r="F146" s="4">
        <v>22</v>
      </c>
      <c r="G146" s="5">
        <f t="shared" si="2"/>
        <v>307978</v>
      </c>
    </row>
    <row r="147" spans="1:7" ht="15.6" x14ac:dyDescent="0.3">
      <c r="A147" s="6">
        <v>44411</v>
      </c>
      <c r="B147" s="7" t="s">
        <v>10</v>
      </c>
      <c r="C147" s="7" t="s">
        <v>22</v>
      </c>
      <c r="D147" s="7" t="s">
        <v>14</v>
      </c>
      <c r="E147" s="7">
        <v>2900</v>
      </c>
      <c r="F147" s="7">
        <v>20</v>
      </c>
      <c r="G147" s="8">
        <f t="shared" si="2"/>
        <v>58000</v>
      </c>
    </row>
    <row r="148" spans="1:7" ht="15.6" x14ac:dyDescent="0.3">
      <c r="A148" s="3">
        <v>44415</v>
      </c>
      <c r="B148" s="4" t="s">
        <v>19</v>
      </c>
      <c r="C148" s="4" t="s">
        <v>20</v>
      </c>
      <c r="D148" s="4" t="s">
        <v>18</v>
      </c>
      <c r="E148" s="4">
        <v>33000</v>
      </c>
      <c r="F148" s="4">
        <v>16</v>
      </c>
      <c r="G148" s="5">
        <f t="shared" si="2"/>
        <v>528000</v>
      </c>
    </row>
    <row r="149" spans="1:7" ht="15.6" x14ac:dyDescent="0.3">
      <c r="A149" s="6">
        <v>44419</v>
      </c>
      <c r="B149" s="7" t="s">
        <v>10</v>
      </c>
      <c r="C149" s="7" t="s">
        <v>20</v>
      </c>
      <c r="D149" s="7" t="s">
        <v>11</v>
      </c>
      <c r="E149" s="7">
        <v>22000</v>
      </c>
      <c r="F149" s="7">
        <v>17</v>
      </c>
      <c r="G149" s="8">
        <f t="shared" si="2"/>
        <v>374000</v>
      </c>
    </row>
    <row r="150" spans="1:7" ht="15.6" x14ac:dyDescent="0.3">
      <c r="A150" s="3">
        <v>44423</v>
      </c>
      <c r="B150" s="4" t="s">
        <v>10</v>
      </c>
      <c r="C150" s="4" t="s">
        <v>22</v>
      </c>
      <c r="D150" s="4" t="s">
        <v>11</v>
      </c>
      <c r="E150" s="4">
        <v>45000</v>
      </c>
      <c r="F150" s="4">
        <v>50</v>
      </c>
      <c r="G150" s="5">
        <f t="shared" si="2"/>
        <v>2250000</v>
      </c>
    </row>
    <row r="151" spans="1:7" ht="15.6" x14ac:dyDescent="0.3">
      <c r="A151" s="6">
        <v>44427</v>
      </c>
      <c r="B151" s="7" t="s">
        <v>19</v>
      </c>
      <c r="C151" s="7" t="s">
        <v>16</v>
      </c>
      <c r="D151" s="7" t="s">
        <v>14</v>
      </c>
      <c r="E151" s="7">
        <v>499</v>
      </c>
      <c r="F151" s="7">
        <v>4</v>
      </c>
      <c r="G151" s="8">
        <f t="shared" si="2"/>
        <v>1996</v>
      </c>
    </row>
    <row r="152" spans="1:7" ht="15.6" x14ac:dyDescent="0.3">
      <c r="A152" s="3">
        <v>44431</v>
      </c>
      <c r="B152" s="4" t="s">
        <v>23</v>
      </c>
      <c r="C152" s="4" t="s">
        <v>22</v>
      </c>
      <c r="D152" s="4" t="s">
        <v>18</v>
      </c>
      <c r="E152" s="4">
        <v>590</v>
      </c>
      <c r="F152" s="4">
        <v>43</v>
      </c>
      <c r="G152" s="5">
        <f t="shared" si="2"/>
        <v>25370</v>
      </c>
    </row>
    <row r="153" spans="1:7" ht="15.6" x14ac:dyDescent="0.3">
      <c r="A153" s="6">
        <v>44435</v>
      </c>
      <c r="B153" s="7" t="s">
        <v>12</v>
      </c>
      <c r="C153" s="7" t="s">
        <v>22</v>
      </c>
      <c r="D153" s="7" t="s">
        <v>11</v>
      </c>
      <c r="E153" s="7">
        <v>590</v>
      </c>
      <c r="F153" s="7">
        <v>42</v>
      </c>
      <c r="G153" s="8">
        <f t="shared" si="2"/>
        <v>24780</v>
      </c>
    </row>
    <row r="154" spans="1:7" ht="15.6" x14ac:dyDescent="0.3">
      <c r="A154" s="3">
        <v>44439</v>
      </c>
      <c r="B154" s="4" t="s">
        <v>15</v>
      </c>
      <c r="C154" s="4" t="s">
        <v>17</v>
      </c>
      <c r="D154" s="4" t="s">
        <v>9</v>
      </c>
      <c r="E154" s="4">
        <v>12000</v>
      </c>
      <c r="F154" s="4">
        <v>9</v>
      </c>
      <c r="G154" s="5">
        <f t="shared" si="2"/>
        <v>108000</v>
      </c>
    </row>
    <row r="155" spans="1:7" ht="15.6" x14ac:dyDescent="0.3">
      <c r="A155" s="6">
        <v>44443</v>
      </c>
      <c r="B155" s="7" t="s">
        <v>19</v>
      </c>
      <c r="C155" s="7" t="s">
        <v>20</v>
      </c>
      <c r="D155" s="7" t="s">
        <v>24</v>
      </c>
      <c r="E155" s="7">
        <v>52000</v>
      </c>
      <c r="F155" s="7">
        <v>40</v>
      </c>
      <c r="G155" s="8">
        <f t="shared" si="2"/>
        <v>2080000</v>
      </c>
    </row>
    <row r="156" spans="1:7" ht="15.6" x14ac:dyDescent="0.3">
      <c r="A156" s="3">
        <v>44447</v>
      </c>
      <c r="B156" s="4" t="s">
        <v>19</v>
      </c>
      <c r="C156" s="4" t="s">
        <v>13</v>
      </c>
      <c r="D156" s="4" t="s">
        <v>18</v>
      </c>
      <c r="E156" s="4">
        <v>7999</v>
      </c>
      <c r="F156" s="4">
        <v>14</v>
      </c>
      <c r="G156" s="5">
        <f t="shared" si="2"/>
        <v>111986</v>
      </c>
    </row>
    <row r="157" spans="1:7" ht="15.6" x14ac:dyDescent="0.3">
      <c r="A157" s="6">
        <v>44451</v>
      </c>
      <c r="B157" s="7" t="s">
        <v>10</v>
      </c>
      <c r="C157" s="7" t="s">
        <v>13</v>
      </c>
      <c r="D157" s="7" t="s">
        <v>21</v>
      </c>
      <c r="E157" s="7">
        <v>5000</v>
      </c>
      <c r="F157" s="7">
        <v>9</v>
      </c>
      <c r="G157" s="8">
        <f t="shared" si="2"/>
        <v>45000</v>
      </c>
    </row>
    <row r="158" spans="1:7" ht="15.6" x14ac:dyDescent="0.3">
      <c r="A158" s="3">
        <v>44455</v>
      </c>
      <c r="B158" s="4" t="s">
        <v>19</v>
      </c>
      <c r="C158" s="4" t="s">
        <v>20</v>
      </c>
      <c r="D158" s="4" t="s">
        <v>18</v>
      </c>
      <c r="E158" s="4">
        <v>79999</v>
      </c>
      <c r="F158" s="4">
        <v>10</v>
      </c>
      <c r="G158" s="5">
        <f t="shared" si="2"/>
        <v>799990</v>
      </c>
    </row>
    <row r="159" spans="1:7" ht="15.6" x14ac:dyDescent="0.3">
      <c r="A159" s="6">
        <v>44459</v>
      </c>
      <c r="B159" s="7" t="s">
        <v>23</v>
      </c>
      <c r="C159" s="7" t="s">
        <v>16</v>
      </c>
      <c r="D159" s="7" t="s">
        <v>14</v>
      </c>
      <c r="E159" s="7">
        <v>1999</v>
      </c>
      <c r="F159" s="7">
        <v>37</v>
      </c>
      <c r="G159" s="8">
        <f t="shared" si="2"/>
        <v>73963</v>
      </c>
    </row>
    <row r="160" spans="1:7" ht="15.6" x14ac:dyDescent="0.3">
      <c r="A160" s="3">
        <v>44463</v>
      </c>
      <c r="B160" s="4" t="s">
        <v>19</v>
      </c>
      <c r="C160" s="4" t="s">
        <v>20</v>
      </c>
      <c r="D160" s="4" t="s">
        <v>18</v>
      </c>
      <c r="E160" s="4">
        <v>89999</v>
      </c>
      <c r="F160" s="4">
        <v>29</v>
      </c>
      <c r="G160" s="5">
        <f t="shared" si="2"/>
        <v>2609971</v>
      </c>
    </row>
    <row r="161" spans="1:7" ht="15.6" x14ac:dyDescent="0.3">
      <c r="A161" s="6">
        <v>44467</v>
      </c>
      <c r="B161" s="7" t="s">
        <v>12</v>
      </c>
      <c r="C161" s="7" t="s">
        <v>20</v>
      </c>
      <c r="D161" s="7" t="s">
        <v>9</v>
      </c>
      <c r="E161" s="7">
        <v>799</v>
      </c>
      <c r="F161" s="7">
        <v>44</v>
      </c>
      <c r="G161" s="8">
        <f t="shared" si="2"/>
        <v>35156</v>
      </c>
    </row>
    <row r="162" spans="1:7" ht="15.6" x14ac:dyDescent="0.3">
      <c r="A162" s="3">
        <v>44471</v>
      </c>
      <c r="B162" s="4" t="s">
        <v>19</v>
      </c>
      <c r="C162" s="4" t="s">
        <v>20</v>
      </c>
      <c r="D162" s="4" t="s">
        <v>11</v>
      </c>
      <c r="E162" s="4">
        <v>3990</v>
      </c>
      <c r="F162" s="4">
        <v>31</v>
      </c>
      <c r="G162" s="5">
        <f t="shared" si="2"/>
        <v>123690</v>
      </c>
    </row>
    <row r="163" spans="1:7" ht="15.6" x14ac:dyDescent="0.3">
      <c r="A163" s="6">
        <v>44475</v>
      </c>
      <c r="B163" s="7" t="s">
        <v>10</v>
      </c>
      <c r="C163" s="7" t="s">
        <v>20</v>
      </c>
      <c r="D163" s="7" t="s">
        <v>14</v>
      </c>
      <c r="E163" s="7">
        <v>52000</v>
      </c>
      <c r="F163" s="7">
        <v>29</v>
      </c>
      <c r="G163" s="8">
        <f t="shared" si="2"/>
        <v>1508000</v>
      </c>
    </row>
    <row r="164" spans="1:7" ht="15.6" x14ac:dyDescent="0.3">
      <c r="A164" s="3">
        <v>44479</v>
      </c>
      <c r="B164" s="4" t="s">
        <v>10</v>
      </c>
      <c r="C164" s="4" t="s">
        <v>8</v>
      </c>
      <c r="D164" s="4" t="s">
        <v>18</v>
      </c>
      <c r="E164" s="4">
        <v>13999</v>
      </c>
      <c r="F164" s="4">
        <v>34</v>
      </c>
      <c r="G164" s="5">
        <f t="shared" si="2"/>
        <v>475966</v>
      </c>
    </row>
    <row r="165" spans="1:7" ht="15.6" x14ac:dyDescent="0.3">
      <c r="A165" s="6">
        <v>44483</v>
      </c>
      <c r="B165" s="7" t="s">
        <v>15</v>
      </c>
      <c r="C165" s="7" t="s">
        <v>17</v>
      </c>
      <c r="D165" s="7" t="s">
        <v>14</v>
      </c>
      <c r="E165" s="7">
        <v>14500</v>
      </c>
      <c r="F165" s="7">
        <v>29</v>
      </c>
      <c r="G165" s="8">
        <f t="shared" si="2"/>
        <v>420500</v>
      </c>
    </row>
    <row r="166" spans="1:7" ht="15.6" x14ac:dyDescent="0.3">
      <c r="A166" s="3">
        <v>44487</v>
      </c>
      <c r="B166" s="4" t="s">
        <v>19</v>
      </c>
      <c r="C166" s="4" t="s">
        <v>13</v>
      </c>
      <c r="D166" s="4" t="s">
        <v>24</v>
      </c>
      <c r="E166" s="4">
        <v>23999</v>
      </c>
      <c r="F166" s="4">
        <v>25</v>
      </c>
      <c r="G166" s="5">
        <f t="shared" si="2"/>
        <v>599975</v>
      </c>
    </row>
    <row r="167" spans="1:7" ht="15.6" x14ac:dyDescent="0.3">
      <c r="A167" s="6">
        <v>44491</v>
      </c>
      <c r="B167" s="7" t="s">
        <v>19</v>
      </c>
      <c r="C167" s="7" t="s">
        <v>13</v>
      </c>
      <c r="D167" s="7" t="s">
        <v>18</v>
      </c>
      <c r="E167" s="7">
        <v>1250</v>
      </c>
      <c r="F167" s="7">
        <v>31</v>
      </c>
      <c r="G167" s="8">
        <f t="shared" si="2"/>
        <v>38750</v>
      </c>
    </row>
    <row r="168" spans="1:7" ht="15.6" x14ac:dyDescent="0.3">
      <c r="A168" s="3">
        <v>44495</v>
      </c>
      <c r="B168" s="4" t="s">
        <v>23</v>
      </c>
      <c r="C168" s="4" t="s">
        <v>16</v>
      </c>
      <c r="D168" s="4" t="s">
        <v>18</v>
      </c>
      <c r="E168" s="4">
        <v>35600</v>
      </c>
      <c r="F168" s="4">
        <v>16</v>
      </c>
      <c r="G168" s="5">
        <f t="shared" si="2"/>
        <v>569600</v>
      </c>
    </row>
    <row r="169" spans="1:7" ht="15.6" x14ac:dyDescent="0.3">
      <c r="A169" s="6">
        <v>44499</v>
      </c>
      <c r="B169" s="7" t="s">
        <v>15</v>
      </c>
      <c r="C169" s="7" t="s">
        <v>17</v>
      </c>
      <c r="D169" s="7" t="s">
        <v>18</v>
      </c>
      <c r="E169" s="7">
        <v>65000</v>
      </c>
      <c r="F169" s="7">
        <v>48</v>
      </c>
      <c r="G169" s="8">
        <f t="shared" si="2"/>
        <v>3120000</v>
      </c>
    </row>
    <row r="170" spans="1:7" ht="15.6" x14ac:dyDescent="0.3">
      <c r="A170" s="3">
        <v>44503</v>
      </c>
      <c r="B170" s="4" t="s">
        <v>12</v>
      </c>
      <c r="C170" s="4" t="s">
        <v>17</v>
      </c>
      <c r="D170" s="4" t="s">
        <v>24</v>
      </c>
      <c r="E170" s="4">
        <v>12000</v>
      </c>
      <c r="F170" s="4">
        <v>22</v>
      </c>
      <c r="G170" s="5">
        <f t="shared" si="2"/>
        <v>264000</v>
      </c>
    </row>
    <row r="171" spans="1:7" ht="15.6" x14ac:dyDescent="0.3">
      <c r="A171" s="6">
        <v>44507</v>
      </c>
      <c r="B171" s="7" t="s">
        <v>23</v>
      </c>
      <c r="C171" s="7" t="s">
        <v>22</v>
      </c>
      <c r="D171" s="7" t="s">
        <v>18</v>
      </c>
      <c r="E171" s="7">
        <v>699</v>
      </c>
      <c r="F171" s="7">
        <v>6</v>
      </c>
      <c r="G171" s="8">
        <f t="shared" si="2"/>
        <v>4194</v>
      </c>
    </row>
    <row r="172" spans="1:7" ht="15.6" x14ac:dyDescent="0.3">
      <c r="A172" s="3">
        <v>44511</v>
      </c>
      <c r="B172" s="4" t="s">
        <v>23</v>
      </c>
      <c r="C172" s="4" t="s">
        <v>16</v>
      </c>
      <c r="D172" s="4" t="s">
        <v>14</v>
      </c>
      <c r="E172" s="4">
        <v>990</v>
      </c>
      <c r="F172" s="4">
        <v>12</v>
      </c>
      <c r="G172" s="5">
        <f t="shared" si="2"/>
        <v>11880</v>
      </c>
    </row>
    <row r="173" spans="1:7" ht="15.6" x14ac:dyDescent="0.3">
      <c r="A173" s="6">
        <v>44515</v>
      </c>
      <c r="B173" s="7" t="s">
        <v>23</v>
      </c>
      <c r="C173" s="7" t="s">
        <v>22</v>
      </c>
      <c r="D173" s="7" t="s">
        <v>9</v>
      </c>
      <c r="E173" s="7">
        <v>450</v>
      </c>
      <c r="F173" s="7">
        <v>44</v>
      </c>
      <c r="G173" s="8">
        <f t="shared" si="2"/>
        <v>19800</v>
      </c>
    </row>
    <row r="174" spans="1:7" ht="15.6" x14ac:dyDescent="0.3">
      <c r="A174" s="3">
        <v>44519</v>
      </c>
      <c r="B174" s="4" t="s">
        <v>23</v>
      </c>
      <c r="C174" s="4" t="s">
        <v>16</v>
      </c>
      <c r="D174" s="4" t="s">
        <v>9</v>
      </c>
      <c r="E174" s="4">
        <v>1499</v>
      </c>
      <c r="F174" s="4">
        <v>15</v>
      </c>
      <c r="G174" s="5">
        <f t="shared" si="2"/>
        <v>22485</v>
      </c>
    </row>
    <row r="175" spans="1:7" ht="15.6" x14ac:dyDescent="0.3">
      <c r="A175" s="6">
        <v>44523</v>
      </c>
      <c r="B175" s="7" t="s">
        <v>7</v>
      </c>
      <c r="C175" s="7" t="s">
        <v>8</v>
      </c>
      <c r="D175" s="7" t="s">
        <v>21</v>
      </c>
      <c r="E175" s="7">
        <v>499</v>
      </c>
      <c r="F175" s="7">
        <v>26</v>
      </c>
      <c r="G175" s="8">
        <f t="shared" si="2"/>
        <v>12974</v>
      </c>
    </row>
    <row r="176" spans="1:7" ht="15.6" x14ac:dyDescent="0.3">
      <c r="A176" s="3">
        <v>44527</v>
      </c>
      <c r="B176" s="4" t="s">
        <v>19</v>
      </c>
      <c r="C176" s="4" t="s">
        <v>13</v>
      </c>
      <c r="D176" s="4" t="s">
        <v>21</v>
      </c>
      <c r="E176" s="4">
        <v>960</v>
      </c>
      <c r="F176" s="4">
        <v>16</v>
      </c>
      <c r="G176" s="5">
        <f t="shared" si="2"/>
        <v>15360</v>
      </c>
    </row>
    <row r="177" spans="1:7" ht="15.6" x14ac:dyDescent="0.3">
      <c r="A177" s="6">
        <v>44531</v>
      </c>
      <c r="B177" s="7" t="s">
        <v>12</v>
      </c>
      <c r="C177" s="7" t="s">
        <v>16</v>
      </c>
      <c r="D177" s="7" t="s">
        <v>18</v>
      </c>
      <c r="E177" s="7">
        <v>5599</v>
      </c>
      <c r="F177" s="7">
        <v>35</v>
      </c>
      <c r="G177" s="8">
        <f t="shared" si="2"/>
        <v>195965</v>
      </c>
    </row>
    <row r="178" spans="1:7" ht="15.6" x14ac:dyDescent="0.3">
      <c r="A178" s="3">
        <v>44535</v>
      </c>
      <c r="B178" s="4" t="s">
        <v>15</v>
      </c>
      <c r="C178" s="4" t="s">
        <v>17</v>
      </c>
      <c r="D178" s="4" t="s">
        <v>9</v>
      </c>
      <c r="E178" s="4">
        <v>89</v>
      </c>
      <c r="F178" s="4">
        <v>36</v>
      </c>
      <c r="G178" s="5">
        <f t="shared" si="2"/>
        <v>3204</v>
      </c>
    </row>
    <row r="179" spans="1:7" ht="15.6" x14ac:dyDescent="0.3">
      <c r="A179" s="6">
        <v>44539</v>
      </c>
      <c r="B179" s="7" t="s">
        <v>7</v>
      </c>
      <c r="C179" s="7" t="s">
        <v>8</v>
      </c>
      <c r="D179" s="7" t="s">
        <v>14</v>
      </c>
      <c r="E179" s="7">
        <v>2550</v>
      </c>
      <c r="F179" s="7">
        <v>20</v>
      </c>
      <c r="G179" s="8">
        <f t="shared" si="2"/>
        <v>51000</v>
      </c>
    </row>
    <row r="180" spans="1:7" ht="15.6" x14ac:dyDescent="0.3">
      <c r="A180" s="3">
        <v>44543</v>
      </c>
      <c r="B180" s="4" t="s">
        <v>7</v>
      </c>
      <c r="C180" s="4" t="s">
        <v>8</v>
      </c>
      <c r="D180" s="4" t="s">
        <v>9</v>
      </c>
      <c r="E180" s="4">
        <v>1450</v>
      </c>
      <c r="F180" s="4">
        <v>47</v>
      </c>
      <c r="G180" s="5">
        <f t="shared" si="2"/>
        <v>68150</v>
      </c>
    </row>
    <row r="181" spans="1:7" ht="15.6" x14ac:dyDescent="0.3">
      <c r="A181" s="6">
        <v>44547</v>
      </c>
      <c r="B181" s="7" t="s">
        <v>23</v>
      </c>
      <c r="C181" s="7" t="s">
        <v>22</v>
      </c>
      <c r="D181" s="7" t="s">
        <v>18</v>
      </c>
      <c r="E181" s="7">
        <v>2900</v>
      </c>
      <c r="F181" s="7">
        <v>6</v>
      </c>
      <c r="G181" s="8">
        <f t="shared" si="2"/>
        <v>17400</v>
      </c>
    </row>
    <row r="182" spans="1:7" ht="15.6" x14ac:dyDescent="0.3">
      <c r="A182" s="3">
        <v>44551</v>
      </c>
      <c r="B182" s="4" t="s">
        <v>15</v>
      </c>
      <c r="C182" s="4" t="s">
        <v>17</v>
      </c>
      <c r="D182" s="4" t="s">
        <v>21</v>
      </c>
      <c r="E182" s="4">
        <v>120</v>
      </c>
      <c r="F182" s="4">
        <v>6</v>
      </c>
      <c r="G182" s="5">
        <f t="shared" si="2"/>
        <v>720</v>
      </c>
    </row>
    <row r="183" spans="1:7" ht="15.6" x14ac:dyDescent="0.3">
      <c r="A183" s="6">
        <v>44555</v>
      </c>
      <c r="B183" s="7" t="s">
        <v>19</v>
      </c>
      <c r="C183" s="7" t="s">
        <v>20</v>
      </c>
      <c r="D183" s="7" t="s">
        <v>21</v>
      </c>
      <c r="E183" s="7">
        <v>52000</v>
      </c>
      <c r="F183" s="7">
        <v>41</v>
      </c>
      <c r="G183" s="8">
        <f t="shared" si="2"/>
        <v>2132000</v>
      </c>
    </row>
    <row r="184" spans="1:7" ht="15.6" x14ac:dyDescent="0.3">
      <c r="A184" s="3">
        <v>44559</v>
      </c>
      <c r="B184" s="4" t="s">
        <v>23</v>
      </c>
      <c r="C184" s="4" t="s">
        <v>22</v>
      </c>
      <c r="D184" s="4" t="s">
        <v>14</v>
      </c>
      <c r="E184" s="4">
        <v>590</v>
      </c>
      <c r="F184" s="4">
        <v>29</v>
      </c>
      <c r="G184" s="5">
        <f t="shared" si="2"/>
        <v>17110</v>
      </c>
    </row>
    <row r="185" spans="1:7" ht="15.6" x14ac:dyDescent="0.3">
      <c r="A185" s="6">
        <v>44563</v>
      </c>
      <c r="B185" s="7" t="s">
        <v>19</v>
      </c>
      <c r="C185" s="7" t="s">
        <v>16</v>
      </c>
      <c r="D185" s="7" t="s">
        <v>24</v>
      </c>
      <c r="E185" s="7">
        <v>7999</v>
      </c>
      <c r="F185" s="7">
        <v>31</v>
      </c>
      <c r="G185" s="8">
        <f t="shared" si="2"/>
        <v>247969</v>
      </c>
    </row>
    <row r="186" spans="1:7" ht="15.6" x14ac:dyDescent="0.3">
      <c r="A186" s="3">
        <v>44567</v>
      </c>
      <c r="B186" s="4" t="s">
        <v>10</v>
      </c>
      <c r="C186" s="4" t="s">
        <v>17</v>
      </c>
      <c r="D186" s="4" t="s">
        <v>14</v>
      </c>
      <c r="E186" s="4">
        <v>999</v>
      </c>
      <c r="F186" s="4">
        <v>34</v>
      </c>
      <c r="G186" s="5">
        <f t="shared" si="2"/>
        <v>33966</v>
      </c>
    </row>
    <row r="187" spans="1:7" ht="15.6" x14ac:dyDescent="0.3">
      <c r="A187" s="6">
        <v>44571</v>
      </c>
      <c r="B187" s="7" t="s">
        <v>12</v>
      </c>
      <c r="C187" s="7" t="s">
        <v>22</v>
      </c>
      <c r="D187" s="7" t="s">
        <v>9</v>
      </c>
      <c r="E187" s="7">
        <v>990</v>
      </c>
      <c r="F187" s="7">
        <v>43</v>
      </c>
      <c r="G187" s="8">
        <f t="shared" si="2"/>
        <v>42570</v>
      </c>
    </row>
    <row r="188" spans="1:7" ht="15.6" x14ac:dyDescent="0.3">
      <c r="A188" s="3">
        <v>44575</v>
      </c>
      <c r="B188" s="4" t="s">
        <v>19</v>
      </c>
      <c r="C188" s="4" t="s">
        <v>20</v>
      </c>
      <c r="D188" s="4" t="s">
        <v>9</v>
      </c>
      <c r="E188" s="4">
        <v>11999</v>
      </c>
      <c r="F188" s="4">
        <v>37</v>
      </c>
      <c r="G188" s="5">
        <f t="shared" si="2"/>
        <v>443963</v>
      </c>
    </row>
    <row r="189" spans="1:7" ht="15.6" x14ac:dyDescent="0.3">
      <c r="A189" s="6">
        <v>44579</v>
      </c>
      <c r="B189" s="7" t="s">
        <v>19</v>
      </c>
      <c r="C189" s="7" t="s">
        <v>13</v>
      </c>
      <c r="D189" s="7" t="s">
        <v>9</v>
      </c>
      <c r="E189" s="7">
        <v>960</v>
      </c>
      <c r="F189" s="7">
        <v>7</v>
      </c>
      <c r="G189" s="8">
        <f t="shared" si="2"/>
        <v>6720</v>
      </c>
    </row>
    <row r="190" spans="1:7" ht="15.6" x14ac:dyDescent="0.3">
      <c r="A190" s="3">
        <v>44583</v>
      </c>
      <c r="B190" s="4" t="s">
        <v>7</v>
      </c>
      <c r="C190" s="4" t="s">
        <v>8</v>
      </c>
      <c r="D190" s="4" t="s">
        <v>14</v>
      </c>
      <c r="E190" s="4">
        <v>1450</v>
      </c>
      <c r="F190" s="4">
        <v>19</v>
      </c>
      <c r="G190" s="5">
        <f t="shared" si="2"/>
        <v>27550</v>
      </c>
    </row>
    <row r="191" spans="1:7" ht="15.6" x14ac:dyDescent="0.3">
      <c r="A191" s="6">
        <v>44587</v>
      </c>
      <c r="B191" s="7" t="s">
        <v>23</v>
      </c>
      <c r="C191" s="7" t="s">
        <v>22</v>
      </c>
      <c r="D191" s="7" t="s">
        <v>11</v>
      </c>
      <c r="E191" s="7">
        <v>450</v>
      </c>
      <c r="F191" s="7">
        <v>47</v>
      </c>
      <c r="G191" s="8">
        <f t="shared" si="2"/>
        <v>21150</v>
      </c>
    </row>
    <row r="192" spans="1:7" ht="15.6" x14ac:dyDescent="0.3">
      <c r="A192" s="3">
        <v>44591</v>
      </c>
      <c r="B192" s="4" t="s">
        <v>10</v>
      </c>
      <c r="C192" s="4" t="s">
        <v>22</v>
      </c>
      <c r="D192" s="4" t="s">
        <v>14</v>
      </c>
      <c r="E192" s="4">
        <v>1499</v>
      </c>
      <c r="F192" s="4">
        <v>37</v>
      </c>
      <c r="G192" s="5">
        <f t="shared" si="2"/>
        <v>55463</v>
      </c>
    </row>
    <row r="193" spans="1:7" ht="15.6" x14ac:dyDescent="0.3">
      <c r="A193" s="6">
        <v>44595</v>
      </c>
      <c r="B193" s="7" t="s">
        <v>12</v>
      </c>
      <c r="C193" s="7" t="s">
        <v>20</v>
      </c>
      <c r="D193" s="7" t="s">
        <v>11</v>
      </c>
      <c r="E193" s="7">
        <v>79999</v>
      </c>
      <c r="F193" s="7">
        <v>4</v>
      </c>
      <c r="G193" s="8">
        <f t="shared" si="2"/>
        <v>319996</v>
      </c>
    </row>
    <row r="194" spans="1:7" ht="15.6" x14ac:dyDescent="0.3">
      <c r="A194" s="3">
        <v>44599</v>
      </c>
      <c r="B194" s="4" t="s">
        <v>12</v>
      </c>
      <c r="C194" s="4" t="s">
        <v>17</v>
      </c>
      <c r="D194" s="4" t="s">
        <v>21</v>
      </c>
      <c r="E194" s="4">
        <v>999</v>
      </c>
      <c r="F194" s="4">
        <v>45</v>
      </c>
      <c r="G194" s="5">
        <f t="shared" si="2"/>
        <v>44955</v>
      </c>
    </row>
    <row r="195" spans="1:7" ht="15.6" x14ac:dyDescent="0.3">
      <c r="A195" s="6">
        <v>44603</v>
      </c>
      <c r="B195" s="7" t="s">
        <v>19</v>
      </c>
      <c r="C195" s="7" t="s">
        <v>20</v>
      </c>
      <c r="D195" s="7" t="s">
        <v>9</v>
      </c>
      <c r="E195" s="7">
        <v>52000</v>
      </c>
      <c r="F195" s="7">
        <v>15</v>
      </c>
      <c r="G195" s="8">
        <f t="shared" ref="G195:G258" si="3">E195*F195</f>
        <v>780000</v>
      </c>
    </row>
    <row r="196" spans="1:7" ht="15.6" x14ac:dyDescent="0.3">
      <c r="A196" s="3">
        <v>44607</v>
      </c>
      <c r="B196" s="4" t="s">
        <v>19</v>
      </c>
      <c r="C196" s="4" t="s">
        <v>20</v>
      </c>
      <c r="D196" s="4" t="s">
        <v>18</v>
      </c>
      <c r="E196" s="4">
        <v>52000</v>
      </c>
      <c r="F196" s="4">
        <v>39</v>
      </c>
      <c r="G196" s="5">
        <f t="shared" si="3"/>
        <v>2028000</v>
      </c>
    </row>
    <row r="197" spans="1:7" ht="15.6" x14ac:dyDescent="0.3">
      <c r="A197" s="6">
        <v>44611</v>
      </c>
      <c r="B197" s="7" t="s">
        <v>19</v>
      </c>
      <c r="C197" s="7" t="s">
        <v>13</v>
      </c>
      <c r="D197" s="7" t="s">
        <v>14</v>
      </c>
      <c r="E197" s="7">
        <v>960</v>
      </c>
      <c r="F197" s="7">
        <v>33</v>
      </c>
      <c r="G197" s="8">
        <f t="shared" si="3"/>
        <v>31680</v>
      </c>
    </row>
    <row r="198" spans="1:7" ht="15.6" x14ac:dyDescent="0.3">
      <c r="A198" s="3">
        <v>44615</v>
      </c>
      <c r="B198" s="4" t="s">
        <v>19</v>
      </c>
      <c r="C198" s="4" t="s">
        <v>13</v>
      </c>
      <c r="D198" s="4" t="s">
        <v>14</v>
      </c>
      <c r="E198" s="4">
        <v>1450</v>
      </c>
      <c r="F198" s="4">
        <v>34</v>
      </c>
      <c r="G198" s="5">
        <f t="shared" si="3"/>
        <v>49300</v>
      </c>
    </row>
    <row r="199" spans="1:7" ht="15.6" x14ac:dyDescent="0.3">
      <c r="A199" s="6">
        <v>44619</v>
      </c>
      <c r="B199" s="7" t="s">
        <v>19</v>
      </c>
      <c r="C199" s="7" t="s">
        <v>16</v>
      </c>
      <c r="D199" s="7" t="s">
        <v>18</v>
      </c>
      <c r="E199" s="7">
        <v>2999</v>
      </c>
      <c r="F199" s="7">
        <v>33</v>
      </c>
      <c r="G199" s="8">
        <f t="shared" si="3"/>
        <v>98967</v>
      </c>
    </row>
    <row r="200" spans="1:7" ht="15.6" x14ac:dyDescent="0.3">
      <c r="A200" s="3">
        <v>44623</v>
      </c>
      <c r="B200" s="4" t="s">
        <v>12</v>
      </c>
      <c r="C200" s="4" t="s">
        <v>13</v>
      </c>
      <c r="D200" s="4" t="s">
        <v>21</v>
      </c>
      <c r="E200" s="4">
        <v>1250</v>
      </c>
      <c r="F200" s="4">
        <v>14</v>
      </c>
      <c r="G200" s="5">
        <f t="shared" si="3"/>
        <v>17500</v>
      </c>
    </row>
    <row r="201" spans="1:7" ht="15.6" x14ac:dyDescent="0.3">
      <c r="A201" s="6">
        <v>44627</v>
      </c>
      <c r="B201" s="7" t="s">
        <v>15</v>
      </c>
      <c r="C201" s="7" t="s">
        <v>17</v>
      </c>
      <c r="D201" s="7" t="s">
        <v>9</v>
      </c>
      <c r="E201" s="7">
        <v>120</v>
      </c>
      <c r="F201" s="7">
        <v>41</v>
      </c>
      <c r="G201" s="8">
        <f t="shared" si="3"/>
        <v>4920</v>
      </c>
    </row>
    <row r="202" spans="1:7" ht="15.6" x14ac:dyDescent="0.3">
      <c r="A202" s="3">
        <v>44631</v>
      </c>
      <c r="B202" s="4" t="s">
        <v>10</v>
      </c>
      <c r="C202" s="4" t="s">
        <v>8</v>
      </c>
      <c r="D202" s="4" t="s">
        <v>18</v>
      </c>
      <c r="E202" s="4">
        <v>1450</v>
      </c>
      <c r="F202" s="4">
        <v>22</v>
      </c>
      <c r="G202" s="5">
        <f t="shared" si="3"/>
        <v>31900</v>
      </c>
    </row>
    <row r="203" spans="1:7" ht="15.6" x14ac:dyDescent="0.3">
      <c r="A203" s="6">
        <v>44635</v>
      </c>
      <c r="B203" s="7" t="s">
        <v>10</v>
      </c>
      <c r="C203" s="7" t="s">
        <v>20</v>
      </c>
      <c r="D203" s="7" t="s">
        <v>9</v>
      </c>
      <c r="E203" s="7">
        <v>89999</v>
      </c>
      <c r="F203" s="7">
        <v>15</v>
      </c>
      <c r="G203" s="8">
        <f t="shared" si="3"/>
        <v>1349985</v>
      </c>
    </row>
    <row r="204" spans="1:7" ht="15.6" x14ac:dyDescent="0.3">
      <c r="A204" s="3">
        <v>44639</v>
      </c>
      <c r="B204" s="4" t="s">
        <v>23</v>
      </c>
      <c r="C204" s="4" t="s">
        <v>22</v>
      </c>
      <c r="D204" s="4" t="s">
        <v>14</v>
      </c>
      <c r="E204" s="4">
        <v>1999</v>
      </c>
      <c r="F204" s="4">
        <v>48</v>
      </c>
      <c r="G204" s="5">
        <f t="shared" si="3"/>
        <v>95952</v>
      </c>
    </row>
    <row r="205" spans="1:7" ht="15.6" x14ac:dyDescent="0.3">
      <c r="A205" s="6">
        <v>44643</v>
      </c>
      <c r="B205" s="7" t="s">
        <v>23</v>
      </c>
      <c r="C205" s="7" t="s">
        <v>16</v>
      </c>
      <c r="D205" s="7" t="s">
        <v>18</v>
      </c>
      <c r="E205" s="7">
        <v>2900</v>
      </c>
      <c r="F205" s="7">
        <v>49</v>
      </c>
      <c r="G205" s="8">
        <f t="shared" si="3"/>
        <v>142100</v>
      </c>
    </row>
    <row r="206" spans="1:7" ht="15.6" x14ac:dyDescent="0.3">
      <c r="A206" s="3">
        <v>44647</v>
      </c>
      <c r="B206" s="4" t="s">
        <v>19</v>
      </c>
      <c r="C206" s="4" t="s">
        <v>20</v>
      </c>
      <c r="D206" s="4" t="s">
        <v>21</v>
      </c>
      <c r="E206" s="4">
        <v>700</v>
      </c>
      <c r="F206" s="4">
        <v>50</v>
      </c>
      <c r="G206" s="5">
        <f t="shared" si="3"/>
        <v>35000</v>
      </c>
    </row>
    <row r="207" spans="1:7" ht="15.6" x14ac:dyDescent="0.3">
      <c r="A207" s="6">
        <v>44651</v>
      </c>
      <c r="B207" s="7" t="s">
        <v>15</v>
      </c>
      <c r="C207" s="7" t="s">
        <v>17</v>
      </c>
      <c r="D207" s="7" t="s">
        <v>18</v>
      </c>
      <c r="E207" s="7">
        <v>200</v>
      </c>
      <c r="F207" s="7">
        <v>41</v>
      </c>
      <c r="G207" s="8">
        <f t="shared" si="3"/>
        <v>8200</v>
      </c>
    </row>
    <row r="208" spans="1:7" ht="15.6" x14ac:dyDescent="0.3">
      <c r="A208" s="3">
        <v>44655</v>
      </c>
      <c r="B208" s="4" t="s">
        <v>7</v>
      </c>
      <c r="C208" s="4" t="s">
        <v>8</v>
      </c>
      <c r="D208" s="4" t="s">
        <v>14</v>
      </c>
      <c r="E208" s="4">
        <v>499</v>
      </c>
      <c r="F208" s="4">
        <v>29</v>
      </c>
      <c r="G208" s="5">
        <f t="shared" si="3"/>
        <v>14471</v>
      </c>
    </row>
    <row r="209" spans="1:7" ht="15.6" x14ac:dyDescent="0.3">
      <c r="A209" s="6">
        <v>44659</v>
      </c>
      <c r="B209" s="7" t="s">
        <v>12</v>
      </c>
      <c r="C209" s="7" t="s">
        <v>8</v>
      </c>
      <c r="D209" s="7" t="s">
        <v>24</v>
      </c>
      <c r="E209" s="7">
        <v>5599</v>
      </c>
      <c r="F209" s="7">
        <v>36</v>
      </c>
      <c r="G209" s="8">
        <f t="shared" si="3"/>
        <v>201564</v>
      </c>
    </row>
    <row r="210" spans="1:7" ht="15.6" x14ac:dyDescent="0.3">
      <c r="A210" s="3">
        <v>44663</v>
      </c>
      <c r="B210" s="4" t="s">
        <v>10</v>
      </c>
      <c r="C210" s="4" t="s">
        <v>17</v>
      </c>
      <c r="D210" s="4" t="s">
        <v>18</v>
      </c>
      <c r="E210" s="4">
        <v>100</v>
      </c>
      <c r="F210" s="4">
        <v>39</v>
      </c>
      <c r="G210" s="5">
        <f t="shared" si="3"/>
        <v>3900</v>
      </c>
    </row>
    <row r="211" spans="1:7" ht="15.6" x14ac:dyDescent="0.3">
      <c r="A211" s="6">
        <v>44667</v>
      </c>
      <c r="B211" s="7" t="s">
        <v>19</v>
      </c>
      <c r="C211" s="7" t="s">
        <v>16</v>
      </c>
      <c r="D211" s="7" t="s">
        <v>18</v>
      </c>
      <c r="E211" s="7">
        <v>79999</v>
      </c>
      <c r="F211" s="7">
        <v>9</v>
      </c>
      <c r="G211" s="8">
        <f t="shared" si="3"/>
        <v>719991</v>
      </c>
    </row>
    <row r="212" spans="1:7" ht="15.6" x14ac:dyDescent="0.3">
      <c r="A212" s="3">
        <v>44671</v>
      </c>
      <c r="B212" s="4" t="s">
        <v>12</v>
      </c>
      <c r="C212" s="4" t="s">
        <v>20</v>
      </c>
      <c r="D212" s="4" t="s">
        <v>14</v>
      </c>
      <c r="E212" s="4">
        <v>700</v>
      </c>
      <c r="F212" s="4">
        <v>38</v>
      </c>
      <c r="G212" s="5">
        <f t="shared" si="3"/>
        <v>26600</v>
      </c>
    </row>
    <row r="213" spans="1:7" ht="15.6" x14ac:dyDescent="0.3">
      <c r="A213" s="6">
        <v>44675</v>
      </c>
      <c r="B213" s="7" t="s">
        <v>19</v>
      </c>
      <c r="C213" s="7" t="s">
        <v>13</v>
      </c>
      <c r="D213" s="7" t="s">
        <v>9</v>
      </c>
      <c r="E213" s="7">
        <v>550</v>
      </c>
      <c r="F213" s="7">
        <v>25</v>
      </c>
      <c r="G213" s="8">
        <f t="shared" si="3"/>
        <v>13750</v>
      </c>
    </row>
    <row r="214" spans="1:7" ht="15.6" x14ac:dyDescent="0.3">
      <c r="A214" s="3">
        <v>44679</v>
      </c>
      <c r="B214" s="4" t="s">
        <v>23</v>
      </c>
      <c r="C214" s="4" t="s">
        <v>22</v>
      </c>
      <c r="D214" s="4" t="s">
        <v>18</v>
      </c>
      <c r="E214" s="4">
        <v>1499</v>
      </c>
      <c r="F214" s="4">
        <v>16</v>
      </c>
      <c r="G214" s="5">
        <f t="shared" si="3"/>
        <v>23984</v>
      </c>
    </row>
    <row r="215" spans="1:7" ht="15.6" x14ac:dyDescent="0.3">
      <c r="A215" s="6">
        <v>44683</v>
      </c>
      <c r="B215" s="7" t="s">
        <v>15</v>
      </c>
      <c r="C215" s="7" t="s">
        <v>17</v>
      </c>
      <c r="D215" s="7" t="s">
        <v>21</v>
      </c>
      <c r="E215" s="7">
        <v>120</v>
      </c>
      <c r="F215" s="7">
        <v>22</v>
      </c>
      <c r="G215" s="8">
        <f t="shared" si="3"/>
        <v>2640</v>
      </c>
    </row>
    <row r="216" spans="1:7" ht="15.6" x14ac:dyDescent="0.3">
      <c r="A216" s="3">
        <v>44687</v>
      </c>
      <c r="B216" s="4" t="s">
        <v>7</v>
      </c>
      <c r="C216" s="4" t="s">
        <v>8</v>
      </c>
      <c r="D216" s="4" t="s">
        <v>11</v>
      </c>
      <c r="E216" s="4">
        <v>1450</v>
      </c>
      <c r="F216" s="4">
        <v>20</v>
      </c>
      <c r="G216" s="5">
        <f t="shared" si="3"/>
        <v>29000</v>
      </c>
    </row>
    <row r="217" spans="1:7" ht="15.6" x14ac:dyDescent="0.3">
      <c r="A217" s="6">
        <v>44691</v>
      </c>
      <c r="B217" s="7" t="s">
        <v>23</v>
      </c>
      <c r="C217" s="7" t="s">
        <v>16</v>
      </c>
      <c r="D217" s="7" t="s">
        <v>14</v>
      </c>
      <c r="E217" s="7">
        <v>1999</v>
      </c>
      <c r="F217" s="7">
        <v>23</v>
      </c>
      <c r="G217" s="8">
        <f t="shared" si="3"/>
        <v>45977</v>
      </c>
    </row>
    <row r="218" spans="1:7" ht="15.6" x14ac:dyDescent="0.3">
      <c r="A218" s="3">
        <v>44695</v>
      </c>
      <c r="B218" s="4" t="s">
        <v>7</v>
      </c>
      <c r="C218" s="4" t="s">
        <v>8</v>
      </c>
      <c r="D218" s="4" t="s">
        <v>18</v>
      </c>
      <c r="E218" s="4">
        <v>800</v>
      </c>
      <c r="F218" s="4">
        <v>43</v>
      </c>
      <c r="G218" s="5">
        <f t="shared" si="3"/>
        <v>34400</v>
      </c>
    </row>
    <row r="219" spans="1:7" ht="15.6" x14ac:dyDescent="0.3">
      <c r="A219" s="6">
        <v>44699</v>
      </c>
      <c r="B219" s="7" t="s">
        <v>12</v>
      </c>
      <c r="C219" s="7" t="s">
        <v>17</v>
      </c>
      <c r="D219" s="7" t="s">
        <v>21</v>
      </c>
      <c r="E219" s="7">
        <v>100</v>
      </c>
      <c r="F219" s="7">
        <v>41</v>
      </c>
      <c r="G219" s="8">
        <f t="shared" si="3"/>
        <v>4100</v>
      </c>
    </row>
    <row r="220" spans="1:7" ht="15.6" x14ac:dyDescent="0.3">
      <c r="A220" s="3">
        <v>44703</v>
      </c>
      <c r="B220" s="4" t="s">
        <v>7</v>
      </c>
      <c r="C220" s="4" t="s">
        <v>8</v>
      </c>
      <c r="D220" s="4" t="s">
        <v>14</v>
      </c>
      <c r="E220" s="4">
        <v>13999</v>
      </c>
      <c r="F220" s="4">
        <v>37</v>
      </c>
      <c r="G220" s="5">
        <f t="shared" si="3"/>
        <v>517963</v>
      </c>
    </row>
    <row r="221" spans="1:7" ht="15.6" x14ac:dyDescent="0.3">
      <c r="A221" s="6">
        <v>44707</v>
      </c>
      <c r="B221" s="7" t="s">
        <v>19</v>
      </c>
      <c r="C221" s="7" t="s">
        <v>20</v>
      </c>
      <c r="D221" s="7" t="s">
        <v>18</v>
      </c>
      <c r="E221" s="7">
        <v>22000</v>
      </c>
      <c r="F221" s="7">
        <v>45</v>
      </c>
      <c r="G221" s="8">
        <f t="shared" si="3"/>
        <v>990000</v>
      </c>
    </row>
    <row r="222" spans="1:7" ht="15.6" x14ac:dyDescent="0.3">
      <c r="A222" s="3">
        <v>44711</v>
      </c>
      <c r="B222" s="4" t="s">
        <v>19</v>
      </c>
      <c r="C222" s="4" t="s">
        <v>20</v>
      </c>
      <c r="D222" s="4" t="s">
        <v>24</v>
      </c>
      <c r="E222" s="4">
        <v>89999</v>
      </c>
      <c r="F222" s="4">
        <v>15</v>
      </c>
      <c r="G222" s="5">
        <f t="shared" si="3"/>
        <v>1349985</v>
      </c>
    </row>
    <row r="223" spans="1:7" ht="15.6" x14ac:dyDescent="0.3">
      <c r="A223" s="6">
        <v>44715</v>
      </c>
      <c r="B223" s="7" t="s">
        <v>10</v>
      </c>
      <c r="C223" s="7" t="s">
        <v>16</v>
      </c>
      <c r="D223" s="7" t="s">
        <v>18</v>
      </c>
      <c r="E223" s="7">
        <v>13999</v>
      </c>
      <c r="F223" s="7">
        <v>22</v>
      </c>
      <c r="G223" s="8">
        <f t="shared" si="3"/>
        <v>307978</v>
      </c>
    </row>
    <row r="224" spans="1:7" ht="15.6" x14ac:dyDescent="0.3">
      <c r="A224" s="3">
        <v>44719</v>
      </c>
      <c r="B224" s="4" t="s">
        <v>12</v>
      </c>
      <c r="C224" s="4" t="s">
        <v>22</v>
      </c>
      <c r="D224" s="4" t="s">
        <v>14</v>
      </c>
      <c r="E224" s="4">
        <v>2900</v>
      </c>
      <c r="F224" s="4">
        <v>20</v>
      </c>
      <c r="G224" s="5">
        <f t="shared" si="3"/>
        <v>58000</v>
      </c>
    </row>
    <row r="225" spans="1:7" ht="15.6" x14ac:dyDescent="0.3">
      <c r="A225" s="6">
        <v>44723</v>
      </c>
      <c r="B225" s="7" t="s">
        <v>10</v>
      </c>
      <c r="C225" s="7" t="s">
        <v>20</v>
      </c>
      <c r="D225" s="7" t="s">
        <v>18</v>
      </c>
      <c r="E225" s="7">
        <v>33000</v>
      </c>
      <c r="F225" s="7">
        <v>16</v>
      </c>
      <c r="G225" s="8">
        <f t="shared" si="3"/>
        <v>528000</v>
      </c>
    </row>
    <row r="226" spans="1:7" ht="15.6" x14ac:dyDescent="0.3">
      <c r="A226" s="3">
        <v>44727</v>
      </c>
      <c r="B226" s="4" t="s">
        <v>19</v>
      </c>
      <c r="C226" s="4" t="s">
        <v>16</v>
      </c>
      <c r="D226" s="4" t="s">
        <v>11</v>
      </c>
      <c r="E226" s="4">
        <v>22000</v>
      </c>
      <c r="F226" s="4">
        <v>17</v>
      </c>
      <c r="G226" s="5">
        <f t="shared" si="3"/>
        <v>374000</v>
      </c>
    </row>
    <row r="227" spans="1:7" ht="15.6" x14ac:dyDescent="0.3">
      <c r="A227" s="6">
        <v>44731</v>
      </c>
      <c r="B227" s="7" t="s">
        <v>23</v>
      </c>
      <c r="C227" s="7" t="s">
        <v>22</v>
      </c>
      <c r="D227" s="7" t="s">
        <v>11</v>
      </c>
      <c r="E227" s="7">
        <v>699</v>
      </c>
      <c r="F227" s="7">
        <v>50</v>
      </c>
      <c r="G227" s="8">
        <f t="shared" si="3"/>
        <v>34950</v>
      </c>
    </row>
    <row r="228" spans="1:7" ht="15.6" x14ac:dyDescent="0.3">
      <c r="A228" s="3">
        <v>44735</v>
      </c>
      <c r="B228" s="4" t="s">
        <v>12</v>
      </c>
      <c r="C228" s="4" t="s">
        <v>20</v>
      </c>
      <c r="D228" s="4" t="s">
        <v>14</v>
      </c>
      <c r="E228" s="4">
        <v>499</v>
      </c>
      <c r="F228" s="4">
        <v>4</v>
      </c>
      <c r="G228" s="5">
        <f t="shared" si="3"/>
        <v>1996</v>
      </c>
    </row>
    <row r="229" spans="1:7" ht="15.6" x14ac:dyDescent="0.3">
      <c r="A229" s="6">
        <v>44739</v>
      </c>
      <c r="B229" s="7" t="s">
        <v>23</v>
      </c>
      <c r="C229" s="7" t="s">
        <v>22</v>
      </c>
      <c r="D229" s="7" t="s">
        <v>18</v>
      </c>
      <c r="E229" s="7">
        <v>590</v>
      </c>
      <c r="F229" s="7">
        <v>43</v>
      </c>
      <c r="G229" s="8">
        <f t="shared" si="3"/>
        <v>25370</v>
      </c>
    </row>
    <row r="230" spans="1:7" ht="15.6" x14ac:dyDescent="0.3">
      <c r="A230" s="3">
        <v>44743</v>
      </c>
      <c r="B230" s="4" t="s">
        <v>23</v>
      </c>
      <c r="C230" s="4" t="s">
        <v>22</v>
      </c>
      <c r="D230" s="4" t="s">
        <v>11</v>
      </c>
      <c r="E230" s="4">
        <v>590</v>
      </c>
      <c r="F230" s="4">
        <v>42</v>
      </c>
      <c r="G230" s="5">
        <f t="shared" si="3"/>
        <v>24780</v>
      </c>
    </row>
    <row r="231" spans="1:7" ht="15.6" x14ac:dyDescent="0.3">
      <c r="A231" s="6">
        <v>44747</v>
      </c>
      <c r="B231" s="7" t="s">
        <v>15</v>
      </c>
      <c r="C231" s="7" t="s">
        <v>17</v>
      </c>
      <c r="D231" s="7" t="s">
        <v>9</v>
      </c>
      <c r="E231" s="7">
        <v>120</v>
      </c>
      <c r="F231" s="7">
        <v>9</v>
      </c>
      <c r="G231" s="8">
        <f t="shared" si="3"/>
        <v>1080</v>
      </c>
    </row>
    <row r="232" spans="1:7" ht="15.6" x14ac:dyDescent="0.3">
      <c r="A232" s="3">
        <v>44751</v>
      </c>
      <c r="B232" s="4" t="s">
        <v>12</v>
      </c>
      <c r="C232" s="4" t="s">
        <v>20</v>
      </c>
      <c r="D232" s="4" t="s">
        <v>24</v>
      </c>
      <c r="E232" s="4">
        <v>52000</v>
      </c>
      <c r="F232" s="4">
        <v>40</v>
      </c>
      <c r="G232" s="5">
        <f t="shared" si="3"/>
        <v>2080000</v>
      </c>
    </row>
    <row r="233" spans="1:7" ht="15.6" x14ac:dyDescent="0.3">
      <c r="A233" s="6">
        <v>44755</v>
      </c>
      <c r="B233" s="7" t="s">
        <v>19</v>
      </c>
      <c r="C233" s="7" t="s">
        <v>16</v>
      </c>
      <c r="D233" s="7" t="s">
        <v>18</v>
      </c>
      <c r="E233" s="7">
        <v>7999</v>
      </c>
      <c r="F233" s="7">
        <v>14</v>
      </c>
      <c r="G233" s="8">
        <f t="shared" si="3"/>
        <v>111986</v>
      </c>
    </row>
    <row r="234" spans="1:7" ht="15.6" x14ac:dyDescent="0.3">
      <c r="A234" s="3">
        <v>44759</v>
      </c>
      <c r="B234" s="4" t="s">
        <v>12</v>
      </c>
      <c r="C234" s="4" t="s">
        <v>13</v>
      </c>
      <c r="D234" s="4" t="s">
        <v>21</v>
      </c>
      <c r="E234" s="4">
        <v>550</v>
      </c>
      <c r="F234" s="4">
        <v>9</v>
      </c>
      <c r="G234" s="5">
        <f t="shared" si="3"/>
        <v>4950</v>
      </c>
    </row>
    <row r="235" spans="1:7" ht="15.6" x14ac:dyDescent="0.3">
      <c r="A235" s="6">
        <v>44763</v>
      </c>
      <c r="B235" s="7" t="s">
        <v>19</v>
      </c>
      <c r="C235" s="7" t="s">
        <v>20</v>
      </c>
      <c r="D235" s="7" t="s">
        <v>18</v>
      </c>
      <c r="E235" s="7">
        <v>79999</v>
      </c>
      <c r="F235" s="7">
        <v>10</v>
      </c>
      <c r="G235" s="8">
        <f t="shared" si="3"/>
        <v>799990</v>
      </c>
    </row>
    <row r="236" spans="1:7" ht="15.6" x14ac:dyDescent="0.3">
      <c r="A236" s="3">
        <v>44767</v>
      </c>
      <c r="B236" s="4" t="s">
        <v>10</v>
      </c>
      <c r="C236" s="4" t="s">
        <v>16</v>
      </c>
      <c r="D236" s="4" t="s">
        <v>11</v>
      </c>
      <c r="E236" s="4">
        <v>1999</v>
      </c>
      <c r="F236" s="4">
        <v>37</v>
      </c>
      <c r="G236" s="5">
        <f t="shared" si="3"/>
        <v>73963</v>
      </c>
    </row>
    <row r="237" spans="1:7" ht="15.6" x14ac:dyDescent="0.3">
      <c r="A237" s="6">
        <v>44771</v>
      </c>
      <c r="B237" s="7" t="s">
        <v>12</v>
      </c>
      <c r="C237" s="7" t="s">
        <v>20</v>
      </c>
      <c r="D237" s="7" t="s">
        <v>18</v>
      </c>
      <c r="E237" s="7">
        <v>89999</v>
      </c>
      <c r="F237" s="7">
        <v>29</v>
      </c>
      <c r="G237" s="8">
        <f t="shared" si="3"/>
        <v>2609971</v>
      </c>
    </row>
    <row r="238" spans="1:7" ht="15.6" x14ac:dyDescent="0.3">
      <c r="A238" s="3">
        <v>44775</v>
      </c>
      <c r="B238" s="4" t="s">
        <v>19</v>
      </c>
      <c r="C238" s="4" t="s">
        <v>20</v>
      </c>
      <c r="D238" s="4" t="s">
        <v>9</v>
      </c>
      <c r="E238" s="4">
        <v>799</v>
      </c>
      <c r="F238" s="4">
        <v>44</v>
      </c>
      <c r="G238" s="5">
        <f t="shared" si="3"/>
        <v>35156</v>
      </c>
    </row>
    <row r="239" spans="1:7" ht="15.6" x14ac:dyDescent="0.3">
      <c r="A239" s="6">
        <v>44779</v>
      </c>
      <c r="B239" s="7" t="s">
        <v>19</v>
      </c>
      <c r="C239" s="7" t="s">
        <v>20</v>
      </c>
      <c r="D239" s="7" t="s">
        <v>24</v>
      </c>
      <c r="E239" s="7">
        <v>3990</v>
      </c>
      <c r="F239" s="7">
        <v>31</v>
      </c>
      <c r="G239" s="8">
        <f t="shared" si="3"/>
        <v>123690</v>
      </c>
    </row>
    <row r="240" spans="1:7" ht="15.6" x14ac:dyDescent="0.3">
      <c r="A240" s="3">
        <v>44783</v>
      </c>
      <c r="B240" s="4" t="s">
        <v>12</v>
      </c>
      <c r="C240" s="4" t="s">
        <v>16</v>
      </c>
      <c r="D240" s="4" t="s">
        <v>14</v>
      </c>
      <c r="E240" s="4">
        <v>52000</v>
      </c>
      <c r="F240" s="4">
        <v>29</v>
      </c>
      <c r="G240" s="5">
        <f t="shared" si="3"/>
        <v>1508000</v>
      </c>
    </row>
    <row r="241" spans="1:7" ht="15.6" x14ac:dyDescent="0.3">
      <c r="A241" s="6">
        <v>44787</v>
      </c>
      <c r="B241" s="7" t="s">
        <v>7</v>
      </c>
      <c r="C241" s="7" t="s">
        <v>8</v>
      </c>
      <c r="D241" s="7" t="s">
        <v>18</v>
      </c>
      <c r="E241" s="7">
        <v>13999</v>
      </c>
      <c r="F241" s="7">
        <v>34</v>
      </c>
      <c r="G241" s="8">
        <f t="shared" si="3"/>
        <v>475966</v>
      </c>
    </row>
    <row r="242" spans="1:7" ht="15.6" x14ac:dyDescent="0.3">
      <c r="A242" s="3">
        <v>44791</v>
      </c>
      <c r="B242" s="4" t="s">
        <v>12</v>
      </c>
      <c r="C242" s="4" t="s">
        <v>17</v>
      </c>
      <c r="D242" s="4" t="s">
        <v>14</v>
      </c>
      <c r="E242" s="4">
        <v>120</v>
      </c>
      <c r="F242" s="4">
        <v>29</v>
      </c>
      <c r="G242" s="5">
        <f t="shared" si="3"/>
        <v>3480</v>
      </c>
    </row>
    <row r="243" spans="1:7" ht="15.6" x14ac:dyDescent="0.3">
      <c r="A243" s="6">
        <v>44795</v>
      </c>
      <c r="B243" s="7" t="s">
        <v>19</v>
      </c>
      <c r="C243" s="7" t="s">
        <v>13</v>
      </c>
      <c r="D243" s="7" t="s">
        <v>9</v>
      </c>
      <c r="E243" s="7">
        <v>23999</v>
      </c>
      <c r="F243" s="7">
        <v>25</v>
      </c>
      <c r="G243" s="8">
        <f t="shared" si="3"/>
        <v>599975</v>
      </c>
    </row>
    <row r="244" spans="1:7" ht="15.6" x14ac:dyDescent="0.3">
      <c r="A244" s="3">
        <v>44799</v>
      </c>
      <c r="B244" s="4" t="s">
        <v>12</v>
      </c>
      <c r="C244" s="4" t="s">
        <v>13</v>
      </c>
      <c r="D244" s="4" t="s">
        <v>18</v>
      </c>
      <c r="E244" s="4">
        <v>1250</v>
      </c>
      <c r="F244" s="4">
        <v>31</v>
      </c>
      <c r="G244" s="5">
        <f t="shared" si="3"/>
        <v>38750</v>
      </c>
    </row>
    <row r="245" spans="1:7" ht="15.6" x14ac:dyDescent="0.3">
      <c r="A245" s="6">
        <v>44803</v>
      </c>
      <c r="B245" s="7" t="s">
        <v>23</v>
      </c>
      <c r="C245" s="7" t="s">
        <v>16</v>
      </c>
      <c r="D245" s="7" t="s">
        <v>18</v>
      </c>
      <c r="E245" s="7">
        <v>45000</v>
      </c>
      <c r="F245" s="7">
        <v>16</v>
      </c>
      <c r="G245" s="8">
        <f t="shared" si="3"/>
        <v>720000</v>
      </c>
    </row>
    <row r="246" spans="1:7" ht="15.6" x14ac:dyDescent="0.3">
      <c r="A246" s="3">
        <v>44807</v>
      </c>
      <c r="B246" s="4" t="s">
        <v>10</v>
      </c>
      <c r="C246" s="4" t="s">
        <v>17</v>
      </c>
      <c r="D246" s="4" t="s">
        <v>14</v>
      </c>
      <c r="E246" s="4">
        <v>120</v>
      </c>
      <c r="F246" s="4">
        <v>48</v>
      </c>
      <c r="G246" s="5">
        <f t="shared" si="3"/>
        <v>5760</v>
      </c>
    </row>
    <row r="247" spans="1:7" ht="15.6" x14ac:dyDescent="0.3">
      <c r="A247" s="6">
        <v>44811</v>
      </c>
      <c r="B247" s="7" t="s">
        <v>12</v>
      </c>
      <c r="C247" s="7" t="s">
        <v>16</v>
      </c>
      <c r="D247" s="7" t="s">
        <v>21</v>
      </c>
      <c r="E247" s="7">
        <v>25600</v>
      </c>
      <c r="F247" s="7">
        <v>22</v>
      </c>
      <c r="G247" s="8">
        <f t="shared" si="3"/>
        <v>563200</v>
      </c>
    </row>
    <row r="248" spans="1:7" ht="15.6" x14ac:dyDescent="0.3">
      <c r="A248" s="3">
        <v>44815</v>
      </c>
      <c r="B248" s="4" t="s">
        <v>23</v>
      </c>
      <c r="C248" s="4" t="s">
        <v>22</v>
      </c>
      <c r="D248" s="4" t="s">
        <v>18</v>
      </c>
      <c r="E248" s="4">
        <v>699</v>
      </c>
      <c r="F248" s="4">
        <v>6</v>
      </c>
      <c r="G248" s="5">
        <f t="shared" si="3"/>
        <v>4194</v>
      </c>
    </row>
    <row r="249" spans="1:7" ht="15.6" x14ac:dyDescent="0.3">
      <c r="A249" s="6">
        <v>44819</v>
      </c>
      <c r="B249" s="7" t="s">
        <v>23</v>
      </c>
      <c r="C249" s="7" t="s">
        <v>16</v>
      </c>
      <c r="D249" s="7" t="s">
        <v>14</v>
      </c>
      <c r="E249" s="7">
        <v>99620</v>
      </c>
      <c r="F249" s="7">
        <v>12</v>
      </c>
      <c r="G249" s="8">
        <f t="shared" si="3"/>
        <v>1195440</v>
      </c>
    </row>
    <row r="250" spans="1:7" ht="15.6" x14ac:dyDescent="0.3">
      <c r="A250" s="3">
        <v>44823</v>
      </c>
      <c r="B250" s="4" t="s">
        <v>12</v>
      </c>
      <c r="C250" s="4" t="s">
        <v>22</v>
      </c>
      <c r="D250" s="4" t="s">
        <v>24</v>
      </c>
      <c r="E250" s="4">
        <v>450</v>
      </c>
      <c r="F250" s="4">
        <v>44</v>
      </c>
      <c r="G250" s="5">
        <f t="shared" si="3"/>
        <v>19800</v>
      </c>
    </row>
    <row r="251" spans="1:7" ht="15.6" x14ac:dyDescent="0.3">
      <c r="A251" s="6">
        <v>44827</v>
      </c>
      <c r="B251" s="7" t="s">
        <v>23</v>
      </c>
      <c r="C251" s="7" t="s">
        <v>22</v>
      </c>
      <c r="D251" s="7" t="s">
        <v>14</v>
      </c>
      <c r="E251" s="7">
        <v>1499</v>
      </c>
      <c r="F251" s="7">
        <v>15</v>
      </c>
      <c r="G251" s="8">
        <f t="shared" si="3"/>
        <v>22485</v>
      </c>
    </row>
    <row r="252" spans="1:7" ht="15.6" x14ac:dyDescent="0.3">
      <c r="A252" s="3">
        <v>44831</v>
      </c>
      <c r="B252" s="4" t="s">
        <v>7</v>
      </c>
      <c r="C252" s="4" t="s">
        <v>16</v>
      </c>
      <c r="D252" s="4" t="s">
        <v>21</v>
      </c>
      <c r="E252" s="4">
        <v>49500</v>
      </c>
      <c r="F252" s="4">
        <v>26</v>
      </c>
      <c r="G252" s="5">
        <f t="shared" si="3"/>
        <v>1287000</v>
      </c>
    </row>
    <row r="253" spans="1:7" ht="15.6" x14ac:dyDescent="0.3">
      <c r="A253" s="6">
        <v>44835</v>
      </c>
      <c r="B253" s="7" t="s">
        <v>10</v>
      </c>
      <c r="C253" s="7" t="s">
        <v>13</v>
      </c>
      <c r="D253" s="7" t="s">
        <v>21</v>
      </c>
      <c r="E253" s="7">
        <v>960</v>
      </c>
      <c r="F253" s="7">
        <v>16</v>
      </c>
      <c r="G253" s="8">
        <f t="shared" si="3"/>
        <v>15360</v>
      </c>
    </row>
    <row r="254" spans="1:7" ht="15.6" x14ac:dyDescent="0.3">
      <c r="A254" s="3">
        <v>44839</v>
      </c>
      <c r="B254" s="4" t="s">
        <v>12</v>
      </c>
      <c r="C254" s="4" t="s">
        <v>8</v>
      </c>
      <c r="D254" s="4" t="s">
        <v>18</v>
      </c>
      <c r="E254" s="4">
        <v>5599</v>
      </c>
      <c r="F254" s="4">
        <v>35</v>
      </c>
      <c r="G254" s="5">
        <f t="shared" si="3"/>
        <v>195965</v>
      </c>
    </row>
    <row r="255" spans="1:7" ht="15.6" x14ac:dyDescent="0.3">
      <c r="A255" s="6">
        <v>44843</v>
      </c>
      <c r="B255" s="7" t="s">
        <v>15</v>
      </c>
      <c r="C255" s="7" t="s">
        <v>17</v>
      </c>
      <c r="D255" s="7" t="s">
        <v>9</v>
      </c>
      <c r="E255" s="7">
        <v>89</v>
      </c>
      <c r="F255" s="7">
        <v>36</v>
      </c>
      <c r="G255" s="8">
        <f t="shared" si="3"/>
        <v>3204</v>
      </c>
    </row>
    <row r="256" spans="1:7" ht="15.6" x14ac:dyDescent="0.3">
      <c r="A256" s="3">
        <v>44847</v>
      </c>
      <c r="B256" s="4" t="s">
        <v>7</v>
      </c>
      <c r="C256" s="4" t="s">
        <v>8</v>
      </c>
      <c r="D256" s="4" t="s">
        <v>24</v>
      </c>
      <c r="E256" s="4">
        <v>2550</v>
      </c>
      <c r="F256" s="4">
        <v>20</v>
      </c>
      <c r="G256" s="5">
        <f t="shared" si="3"/>
        <v>51000</v>
      </c>
    </row>
    <row r="257" spans="1:7" ht="15.6" x14ac:dyDescent="0.3">
      <c r="A257" s="6">
        <v>44851</v>
      </c>
      <c r="B257" s="7" t="s">
        <v>12</v>
      </c>
      <c r="C257" s="7" t="s">
        <v>16</v>
      </c>
      <c r="D257" s="7" t="s">
        <v>9</v>
      </c>
      <c r="E257" s="7">
        <v>14500</v>
      </c>
      <c r="F257" s="7">
        <v>47</v>
      </c>
      <c r="G257" s="8">
        <f t="shared" si="3"/>
        <v>681500</v>
      </c>
    </row>
    <row r="258" spans="1:7" ht="15.6" x14ac:dyDescent="0.3">
      <c r="A258" s="3">
        <v>44855</v>
      </c>
      <c r="B258" s="4" t="s">
        <v>23</v>
      </c>
      <c r="C258" s="4" t="s">
        <v>22</v>
      </c>
      <c r="D258" s="4" t="s">
        <v>18</v>
      </c>
      <c r="E258" s="4">
        <v>2900</v>
      </c>
      <c r="F258" s="4">
        <v>6</v>
      </c>
      <c r="G258" s="5">
        <f t="shared" si="3"/>
        <v>17400</v>
      </c>
    </row>
    <row r="259" spans="1:7" ht="15.6" x14ac:dyDescent="0.3">
      <c r="A259" s="6">
        <v>44859</v>
      </c>
      <c r="B259" s="7" t="s">
        <v>15</v>
      </c>
      <c r="C259" s="7" t="s">
        <v>17</v>
      </c>
      <c r="D259" s="7" t="s">
        <v>21</v>
      </c>
      <c r="E259" s="7">
        <v>120</v>
      </c>
      <c r="F259" s="7">
        <v>6</v>
      </c>
      <c r="G259" s="8">
        <f t="shared" ref="G259:G279" si="4">E259*F259</f>
        <v>720</v>
      </c>
    </row>
    <row r="260" spans="1:7" ht="15.6" x14ac:dyDescent="0.3">
      <c r="A260" s="3">
        <v>44863</v>
      </c>
      <c r="B260" s="4" t="s">
        <v>19</v>
      </c>
      <c r="C260" s="4" t="s">
        <v>16</v>
      </c>
      <c r="D260" s="4" t="s">
        <v>14</v>
      </c>
      <c r="E260" s="4">
        <v>52000</v>
      </c>
      <c r="F260" s="4">
        <v>41</v>
      </c>
      <c r="G260" s="5">
        <f t="shared" si="4"/>
        <v>2132000</v>
      </c>
    </row>
    <row r="261" spans="1:7" ht="15.6" x14ac:dyDescent="0.3">
      <c r="A261" s="6">
        <v>44867</v>
      </c>
      <c r="B261" s="7" t="s">
        <v>10</v>
      </c>
      <c r="C261" s="7" t="s">
        <v>22</v>
      </c>
      <c r="D261" s="7" t="s">
        <v>11</v>
      </c>
      <c r="E261" s="7">
        <v>590</v>
      </c>
      <c r="F261" s="7">
        <v>29</v>
      </c>
      <c r="G261" s="8">
        <f t="shared" si="4"/>
        <v>17110</v>
      </c>
    </row>
    <row r="262" spans="1:7" ht="15.6" x14ac:dyDescent="0.3">
      <c r="A262" s="3">
        <v>44871</v>
      </c>
      <c r="B262" s="4" t="s">
        <v>19</v>
      </c>
      <c r="C262" s="4" t="s">
        <v>13</v>
      </c>
      <c r="D262" s="4" t="s">
        <v>21</v>
      </c>
      <c r="E262" s="4">
        <v>7999</v>
      </c>
      <c r="F262" s="4">
        <v>31</v>
      </c>
      <c r="G262" s="5">
        <f t="shared" si="4"/>
        <v>247969</v>
      </c>
    </row>
    <row r="263" spans="1:7" ht="15.6" x14ac:dyDescent="0.3">
      <c r="A263" s="6">
        <v>44875</v>
      </c>
      <c r="B263" s="7" t="s">
        <v>12</v>
      </c>
      <c r="C263" s="7" t="s">
        <v>17</v>
      </c>
      <c r="D263" s="7" t="s">
        <v>11</v>
      </c>
      <c r="E263" s="7">
        <v>999</v>
      </c>
      <c r="F263" s="7">
        <v>34</v>
      </c>
      <c r="G263" s="8">
        <f t="shared" si="4"/>
        <v>33966</v>
      </c>
    </row>
    <row r="264" spans="1:7" ht="15.6" x14ac:dyDescent="0.3">
      <c r="A264" s="3">
        <v>44879</v>
      </c>
      <c r="B264" s="4" t="s">
        <v>23</v>
      </c>
      <c r="C264" s="4" t="s">
        <v>16</v>
      </c>
      <c r="D264" s="4" t="s">
        <v>14</v>
      </c>
      <c r="E264" s="4">
        <v>990</v>
      </c>
      <c r="F264" s="4">
        <v>43</v>
      </c>
      <c r="G264" s="5">
        <f t="shared" si="4"/>
        <v>42570</v>
      </c>
    </row>
    <row r="265" spans="1:7" ht="15.6" x14ac:dyDescent="0.3">
      <c r="A265" s="6">
        <v>44883</v>
      </c>
      <c r="B265" s="7" t="s">
        <v>12</v>
      </c>
      <c r="C265" s="7" t="s">
        <v>20</v>
      </c>
      <c r="D265" s="7" t="s">
        <v>9</v>
      </c>
      <c r="E265" s="7">
        <v>11999</v>
      </c>
      <c r="F265" s="7">
        <v>37</v>
      </c>
      <c r="G265" s="8">
        <f t="shared" si="4"/>
        <v>443963</v>
      </c>
    </row>
    <row r="266" spans="1:7" ht="15.6" x14ac:dyDescent="0.3">
      <c r="A266" s="3">
        <v>44887</v>
      </c>
      <c r="B266" s="4" t="s">
        <v>10</v>
      </c>
      <c r="C266" s="4" t="s">
        <v>13</v>
      </c>
      <c r="D266" s="4" t="s">
        <v>9</v>
      </c>
      <c r="E266" s="4">
        <v>960</v>
      </c>
      <c r="F266" s="4">
        <v>7</v>
      </c>
      <c r="G266" s="5">
        <f t="shared" si="4"/>
        <v>6720</v>
      </c>
    </row>
    <row r="267" spans="1:7" ht="15.6" x14ac:dyDescent="0.3">
      <c r="A267" s="6">
        <v>44891</v>
      </c>
      <c r="B267" s="7" t="s">
        <v>7</v>
      </c>
      <c r="C267" s="7" t="s">
        <v>8</v>
      </c>
      <c r="D267" s="7" t="s">
        <v>14</v>
      </c>
      <c r="E267" s="7">
        <v>1450</v>
      </c>
      <c r="F267" s="7">
        <v>19</v>
      </c>
      <c r="G267" s="8">
        <f t="shared" si="4"/>
        <v>27550</v>
      </c>
    </row>
    <row r="268" spans="1:7" ht="15.6" x14ac:dyDescent="0.3">
      <c r="A268" s="3">
        <v>44895</v>
      </c>
      <c r="B268" s="4" t="s">
        <v>23</v>
      </c>
      <c r="C268" s="4" t="s">
        <v>22</v>
      </c>
      <c r="D268" s="4" t="s">
        <v>11</v>
      </c>
      <c r="E268" s="4">
        <v>450</v>
      </c>
      <c r="F268" s="4">
        <v>47</v>
      </c>
      <c r="G268" s="5">
        <f t="shared" si="4"/>
        <v>21150</v>
      </c>
    </row>
    <row r="269" spans="1:7" ht="15.6" x14ac:dyDescent="0.3">
      <c r="A269" s="6">
        <v>44899</v>
      </c>
      <c r="B269" s="7" t="s">
        <v>12</v>
      </c>
      <c r="C269" s="7" t="s">
        <v>16</v>
      </c>
      <c r="D269" s="7" t="s">
        <v>11</v>
      </c>
      <c r="E269" s="7">
        <v>1499</v>
      </c>
      <c r="F269" s="7">
        <v>37</v>
      </c>
      <c r="G269" s="8">
        <f t="shared" si="4"/>
        <v>55463</v>
      </c>
    </row>
    <row r="270" spans="1:7" ht="15.6" x14ac:dyDescent="0.3">
      <c r="A270" s="3">
        <v>44903</v>
      </c>
      <c r="B270" s="4" t="s">
        <v>19</v>
      </c>
      <c r="C270" s="4" t="s">
        <v>20</v>
      </c>
      <c r="D270" s="4" t="s">
        <v>11</v>
      </c>
      <c r="E270" s="4">
        <v>79999</v>
      </c>
      <c r="F270" s="4">
        <v>4</v>
      </c>
      <c r="G270" s="5">
        <f t="shared" si="4"/>
        <v>319996</v>
      </c>
    </row>
    <row r="271" spans="1:7" ht="15.6" x14ac:dyDescent="0.3">
      <c r="A271" s="6">
        <v>44907</v>
      </c>
      <c r="B271" s="7" t="s">
        <v>12</v>
      </c>
      <c r="C271" s="7" t="s">
        <v>17</v>
      </c>
      <c r="D271" s="7" t="s">
        <v>21</v>
      </c>
      <c r="E271" s="7">
        <v>999</v>
      </c>
      <c r="F271" s="7">
        <v>45</v>
      </c>
      <c r="G271" s="8">
        <f t="shared" si="4"/>
        <v>44955</v>
      </c>
    </row>
    <row r="272" spans="1:7" ht="15.6" x14ac:dyDescent="0.3">
      <c r="A272" s="3">
        <v>44911</v>
      </c>
      <c r="B272" s="4" t="s">
        <v>19</v>
      </c>
      <c r="C272" s="4" t="s">
        <v>20</v>
      </c>
      <c r="D272" s="4" t="s">
        <v>9</v>
      </c>
      <c r="E272" s="4">
        <v>52000</v>
      </c>
      <c r="F272" s="4">
        <v>15</v>
      </c>
      <c r="G272" s="5">
        <f t="shared" si="4"/>
        <v>780000</v>
      </c>
    </row>
    <row r="273" spans="1:7" ht="15.6" x14ac:dyDescent="0.3">
      <c r="A273" s="6">
        <v>44915</v>
      </c>
      <c r="B273" s="7" t="s">
        <v>10</v>
      </c>
      <c r="C273" s="7" t="s">
        <v>20</v>
      </c>
      <c r="D273" s="7" t="s">
        <v>18</v>
      </c>
      <c r="E273" s="7">
        <v>52000</v>
      </c>
      <c r="F273" s="7">
        <v>39</v>
      </c>
      <c r="G273" s="8">
        <f t="shared" si="4"/>
        <v>2028000</v>
      </c>
    </row>
    <row r="274" spans="1:7" ht="15.6" x14ac:dyDescent="0.3">
      <c r="A274" s="3">
        <v>44919</v>
      </c>
      <c r="B274" s="4" t="s">
        <v>12</v>
      </c>
      <c r="C274" s="4" t="s">
        <v>13</v>
      </c>
      <c r="D274" s="4" t="s">
        <v>18</v>
      </c>
      <c r="E274" s="4">
        <v>960</v>
      </c>
      <c r="F274" s="4">
        <v>33</v>
      </c>
      <c r="G274" s="5">
        <f t="shared" si="4"/>
        <v>31680</v>
      </c>
    </row>
    <row r="275" spans="1:7" ht="15.6" x14ac:dyDescent="0.3">
      <c r="A275" s="9">
        <v>44923</v>
      </c>
      <c r="B275" s="10" t="s">
        <v>19</v>
      </c>
      <c r="C275" s="10" t="s">
        <v>13</v>
      </c>
      <c r="D275" s="10" t="s">
        <v>14</v>
      </c>
      <c r="E275" s="10">
        <v>1450</v>
      </c>
      <c r="F275" s="10">
        <v>34</v>
      </c>
      <c r="G275" s="11">
        <f t="shared" si="4"/>
        <v>49300</v>
      </c>
    </row>
    <row r="276" spans="1:7" ht="15.6" x14ac:dyDescent="0.3">
      <c r="A276" s="3">
        <v>44913</v>
      </c>
      <c r="B276" s="4" t="s">
        <v>23</v>
      </c>
      <c r="C276" s="4" t="s">
        <v>22</v>
      </c>
      <c r="D276" s="4" t="s">
        <v>24</v>
      </c>
      <c r="E276" s="4">
        <v>2500</v>
      </c>
      <c r="F276" s="4">
        <v>100</v>
      </c>
      <c r="G276" s="5">
        <f t="shared" si="4"/>
        <v>250000</v>
      </c>
    </row>
    <row r="277" spans="1:7" ht="15.6" x14ac:dyDescent="0.3">
      <c r="A277" s="6">
        <v>44917</v>
      </c>
      <c r="B277" s="7" t="s">
        <v>10</v>
      </c>
      <c r="C277" s="7" t="s">
        <v>16</v>
      </c>
      <c r="D277" s="7" t="s">
        <v>24</v>
      </c>
      <c r="E277" s="7">
        <v>86540</v>
      </c>
      <c r="F277" s="7">
        <v>6</v>
      </c>
      <c r="G277" s="8">
        <f t="shared" si="4"/>
        <v>519240</v>
      </c>
    </row>
    <row r="278" spans="1:7" ht="15.6" x14ac:dyDescent="0.3">
      <c r="A278" s="3">
        <v>44922</v>
      </c>
      <c r="B278" s="4" t="s">
        <v>15</v>
      </c>
      <c r="C278" s="4" t="s">
        <v>17</v>
      </c>
      <c r="D278" s="4" t="s">
        <v>24</v>
      </c>
      <c r="E278" s="4">
        <v>550</v>
      </c>
      <c r="F278" s="4">
        <v>44</v>
      </c>
      <c r="G278" s="5">
        <f t="shared" si="4"/>
        <v>24200</v>
      </c>
    </row>
    <row r="279" spans="1:7" ht="15.6" x14ac:dyDescent="0.3">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B17:X41"/>
  <sheetViews>
    <sheetView tabSelected="1" zoomScale="76" zoomScaleNormal="85" workbookViewId="0"/>
  </sheetViews>
  <sheetFormatPr defaultRowHeight="14.4" x14ac:dyDescent="0.3"/>
  <sheetData>
    <row r="17" spans="24:24" x14ac:dyDescent="0.3">
      <c r="X17" t="e" vm="1">
        <v>#VALUE!</v>
      </c>
    </row>
    <row r="41" spans="2:7" x14ac:dyDescent="0.3">
      <c r="B41" s="17"/>
      <c r="G41" s="1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BC10-F4C5-4544-A9FD-B456E3ACB900}">
  <dimension ref="I17:X41"/>
  <sheetViews>
    <sheetView zoomScale="69" zoomScaleNormal="180" workbookViewId="0"/>
  </sheetViews>
  <sheetFormatPr defaultRowHeight="14.4" x14ac:dyDescent="0.3"/>
  <sheetData>
    <row r="17" spans="24:24" x14ac:dyDescent="0.3">
      <c r="X17" t="e" vm="1">
        <v>#VALUE!</v>
      </c>
    </row>
    <row r="41" spans="9:9" x14ac:dyDescent="0.3">
      <c r="I41" s="17" t="s">
        <v>43</v>
      </c>
    </row>
  </sheetData>
  <hyperlinks>
    <hyperlink ref="I41" location="products!A1" display="products!A1" xr:uid="{0D102768-4A94-4BA5-93AC-5D60891E84A2}"/>
  </hyperlink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852B0-C010-4221-B13E-E843A2F9C1DE}">
  <dimension ref="A1:X147"/>
  <sheetViews>
    <sheetView zoomScale="69" zoomScaleNormal="69" workbookViewId="0"/>
  </sheetViews>
  <sheetFormatPr defaultRowHeight="14.4" x14ac:dyDescent="0.3"/>
  <sheetData>
    <row r="1" spans="1:1" x14ac:dyDescent="0.3">
      <c r="A1" s="17" t="s">
        <v>44</v>
      </c>
    </row>
    <row r="17" spans="24:24" x14ac:dyDescent="0.3">
      <c r="X17" t="e" vm="1">
        <v>#VALUE!</v>
      </c>
    </row>
    <row r="147" spans="5:5" x14ac:dyDescent="0.3">
      <c r="E147" s="17"/>
    </row>
  </sheetData>
  <hyperlinks>
    <hyperlink ref="A1" location="Salesmans!A1" display="Salesmans!A1" xr:uid="{25D73796-1D0B-4DB5-BFC5-2774642D9EAA}"/>
  </hyperlink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E18C6-12E1-4865-9997-3A3D2EFA5285}">
  <dimension ref="X17"/>
  <sheetViews>
    <sheetView zoomScale="69" zoomScaleNormal="180" workbookViewId="0"/>
  </sheetViews>
  <sheetFormatPr defaultRowHeight="14.4" x14ac:dyDescent="0.3"/>
  <sheetData>
    <row r="17" spans="24:24" x14ac:dyDescent="0.3">
      <c r="X17"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M174"/>
  <sheetViews>
    <sheetView topLeftCell="A121" zoomScale="95" workbookViewId="0"/>
  </sheetViews>
  <sheetFormatPr defaultRowHeight="14.4" x14ac:dyDescent="0.3"/>
  <cols>
    <col min="1" max="1" width="12.88671875" bestFit="1" customWidth="1"/>
    <col min="2" max="2" width="11.44140625" bestFit="1" customWidth="1"/>
    <col min="3" max="3" width="12.88671875" bestFit="1" customWidth="1"/>
    <col min="4" max="5" width="11.44140625" bestFit="1" customWidth="1"/>
  </cols>
  <sheetData>
    <row r="1" spans="1:2" x14ac:dyDescent="0.3">
      <c r="A1" s="12" t="s">
        <v>25</v>
      </c>
      <c r="B1" t="s">
        <v>27</v>
      </c>
    </row>
    <row r="2" spans="1:2" x14ac:dyDescent="0.3">
      <c r="A2" s="13" t="s">
        <v>28</v>
      </c>
      <c r="B2" s="14">
        <v>11587825</v>
      </c>
    </row>
    <row r="3" spans="1:2" x14ac:dyDescent="0.3">
      <c r="A3" s="13" t="s">
        <v>29</v>
      </c>
      <c r="B3" s="14">
        <v>9933052</v>
      </c>
    </row>
    <row r="4" spans="1:2" x14ac:dyDescent="0.3">
      <c r="A4" s="13" t="s">
        <v>30</v>
      </c>
      <c r="B4" s="14">
        <v>5651655</v>
      </c>
    </row>
    <row r="5" spans="1:2" x14ac:dyDescent="0.3">
      <c r="A5" s="13" t="s">
        <v>31</v>
      </c>
      <c r="B5" s="14">
        <v>2588013</v>
      </c>
    </row>
    <row r="6" spans="1:2" x14ac:dyDescent="0.3">
      <c r="A6" s="13" t="s">
        <v>32</v>
      </c>
      <c r="B6" s="14">
        <v>8435834</v>
      </c>
    </row>
    <row r="7" spans="1:2" x14ac:dyDescent="0.3">
      <c r="A7" s="13" t="s">
        <v>33</v>
      </c>
      <c r="B7" s="14">
        <v>3751547</v>
      </c>
    </row>
    <row r="8" spans="1:2" x14ac:dyDescent="0.3">
      <c r="A8" s="13" t="s">
        <v>34</v>
      </c>
      <c r="B8" s="14">
        <v>18122063</v>
      </c>
    </row>
    <row r="9" spans="1:2" x14ac:dyDescent="0.3">
      <c r="A9" s="13" t="s">
        <v>35</v>
      </c>
      <c r="B9" s="14">
        <v>10988474</v>
      </c>
    </row>
    <row r="10" spans="1:2" x14ac:dyDescent="0.3">
      <c r="A10" s="13" t="s">
        <v>36</v>
      </c>
      <c r="B10" s="14">
        <v>13532478</v>
      </c>
    </row>
    <row r="11" spans="1:2" x14ac:dyDescent="0.3">
      <c r="A11" s="13" t="s">
        <v>37</v>
      </c>
      <c r="B11" s="14">
        <v>16467945</v>
      </c>
    </row>
    <row r="12" spans="1:2" x14ac:dyDescent="0.3">
      <c r="A12" s="13" t="s">
        <v>38</v>
      </c>
      <c r="B12" s="14">
        <v>5605463</v>
      </c>
    </row>
    <row r="13" spans="1:2" x14ac:dyDescent="0.3">
      <c r="A13" s="13" t="s">
        <v>39</v>
      </c>
      <c r="B13" s="14">
        <v>12067544</v>
      </c>
    </row>
    <row r="14" spans="1:2" x14ac:dyDescent="0.3">
      <c r="A14" s="13" t="s">
        <v>26</v>
      </c>
      <c r="B14" s="14">
        <v>118731893</v>
      </c>
    </row>
    <row r="26" spans="2:3" x14ac:dyDescent="0.3">
      <c r="B26" s="12" t="s">
        <v>25</v>
      </c>
      <c r="C26" t="s">
        <v>27</v>
      </c>
    </row>
    <row r="27" spans="2:3" x14ac:dyDescent="0.3">
      <c r="B27" s="13" t="s">
        <v>14</v>
      </c>
      <c r="C27" s="15">
        <v>16052685</v>
      </c>
    </row>
    <row r="28" spans="2:3" x14ac:dyDescent="0.3">
      <c r="B28" s="13" t="s">
        <v>21</v>
      </c>
      <c r="C28" s="15">
        <v>16926316</v>
      </c>
    </row>
    <row r="29" spans="2:3" x14ac:dyDescent="0.3">
      <c r="B29" s="13" t="s">
        <v>9</v>
      </c>
      <c r="C29" s="15">
        <v>19179514</v>
      </c>
    </row>
    <row r="30" spans="2:3" x14ac:dyDescent="0.3">
      <c r="B30" s="13" t="s">
        <v>24</v>
      </c>
      <c r="C30" s="15">
        <v>10438408</v>
      </c>
    </row>
    <row r="31" spans="2:3" x14ac:dyDescent="0.3">
      <c r="B31" s="13" t="s">
        <v>18</v>
      </c>
      <c r="C31" s="15">
        <v>41054876</v>
      </c>
    </row>
    <row r="32" spans="2:3" x14ac:dyDescent="0.3">
      <c r="B32" s="13" t="s">
        <v>11</v>
      </c>
      <c r="C32" s="15">
        <v>15080094</v>
      </c>
    </row>
    <row r="33" spans="2:4" x14ac:dyDescent="0.3">
      <c r="B33" s="13" t="s">
        <v>26</v>
      </c>
      <c r="C33" s="15">
        <v>118731893</v>
      </c>
    </row>
    <row r="47" spans="2:4" x14ac:dyDescent="0.3">
      <c r="C47" s="12" t="s">
        <v>25</v>
      </c>
      <c r="D47" t="s">
        <v>27</v>
      </c>
    </row>
    <row r="48" spans="2:4" x14ac:dyDescent="0.3">
      <c r="C48" s="13" t="s">
        <v>16</v>
      </c>
      <c r="D48" s="16">
        <v>0.39442202778658636</v>
      </c>
    </row>
    <row r="49" spans="2:9" x14ac:dyDescent="0.3">
      <c r="C49" s="13" t="s">
        <v>8</v>
      </c>
      <c r="D49" s="16">
        <v>4.4333858974184806E-2</v>
      </c>
    </row>
    <row r="50" spans="2:9" x14ac:dyDescent="0.3">
      <c r="C50" s="13" t="s">
        <v>20</v>
      </c>
      <c r="D50" s="16">
        <v>0.41026059443017554</v>
      </c>
    </row>
    <row r="51" spans="2:9" x14ac:dyDescent="0.3">
      <c r="C51" s="13" t="s">
        <v>13</v>
      </c>
      <c r="D51" s="16">
        <v>2.9676432430838107E-2</v>
      </c>
    </row>
    <row r="52" spans="2:9" x14ac:dyDescent="0.3">
      <c r="C52" s="13" t="s">
        <v>17</v>
      </c>
      <c r="D52" s="16">
        <v>8.7710746766245865E-2</v>
      </c>
    </row>
    <row r="53" spans="2:9" x14ac:dyDescent="0.3">
      <c r="C53" s="13" t="s">
        <v>22</v>
      </c>
      <c r="D53" s="16">
        <v>3.3596339611969298E-2</v>
      </c>
    </row>
    <row r="54" spans="2:9" x14ac:dyDescent="0.3">
      <c r="C54" s="13" t="s">
        <v>26</v>
      </c>
      <c r="D54" s="16">
        <v>1</v>
      </c>
    </row>
    <row r="61" spans="2:9" x14ac:dyDescent="0.3">
      <c r="B61" t="s">
        <v>27</v>
      </c>
      <c r="I61" t="s">
        <v>42</v>
      </c>
    </row>
    <row r="62" spans="2:9" x14ac:dyDescent="0.3">
      <c r="B62" s="15">
        <v>118731893</v>
      </c>
      <c r="D62" s="15">
        <f>B62</f>
        <v>118731893</v>
      </c>
    </row>
    <row r="67" spans="2:5" x14ac:dyDescent="0.3">
      <c r="B67" t="s">
        <v>40</v>
      </c>
    </row>
    <row r="68" spans="2:5" x14ac:dyDescent="0.3">
      <c r="B68" s="15">
        <v>278</v>
      </c>
      <c r="D68" s="15">
        <f>B68</f>
        <v>278</v>
      </c>
    </row>
    <row r="77" spans="2:5" x14ac:dyDescent="0.3">
      <c r="D77" s="12" t="s">
        <v>25</v>
      </c>
      <c r="E77" t="s">
        <v>41</v>
      </c>
    </row>
    <row r="78" spans="2:5" x14ac:dyDescent="0.3">
      <c r="D78" s="13" t="s">
        <v>22</v>
      </c>
      <c r="E78" s="15">
        <v>1457</v>
      </c>
    </row>
    <row r="79" spans="2:5" x14ac:dyDescent="0.3">
      <c r="D79" s="13" t="s">
        <v>16</v>
      </c>
      <c r="E79" s="15">
        <v>1503</v>
      </c>
    </row>
    <row r="80" spans="2:5" x14ac:dyDescent="0.3">
      <c r="D80" s="13" t="s">
        <v>20</v>
      </c>
      <c r="E80" s="15">
        <v>1615</v>
      </c>
    </row>
    <row r="81" spans="4:5" x14ac:dyDescent="0.3">
      <c r="D81" s="13" t="s">
        <v>26</v>
      </c>
      <c r="E81" s="15">
        <v>4575</v>
      </c>
    </row>
    <row r="83" spans="4:5" x14ac:dyDescent="0.3">
      <c r="D83" s="12" t="s">
        <v>25</v>
      </c>
      <c r="E83" t="s">
        <v>41</v>
      </c>
    </row>
    <row r="84" spans="4:5" x14ac:dyDescent="0.3">
      <c r="D84" s="13" t="s">
        <v>8</v>
      </c>
      <c r="E84" s="15">
        <v>1233</v>
      </c>
    </row>
    <row r="85" spans="4:5" x14ac:dyDescent="0.3">
      <c r="D85" s="13" t="s">
        <v>17</v>
      </c>
      <c r="E85" s="15">
        <v>1168</v>
      </c>
    </row>
    <row r="86" spans="4:5" x14ac:dyDescent="0.3">
      <c r="D86" s="13" t="s">
        <v>13</v>
      </c>
      <c r="E86" s="15">
        <v>694</v>
      </c>
    </row>
    <row r="87" spans="4:5" x14ac:dyDescent="0.3">
      <c r="D87" s="13" t="s">
        <v>26</v>
      </c>
      <c r="E87" s="15">
        <v>3095</v>
      </c>
    </row>
    <row r="97" spans="1:13" x14ac:dyDescent="0.3">
      <c r="B97" s="12" t="s">
        <v>25</v>
      </c>
      <c r="C97" t="s">
        <v>41</v>
      </c>
      <c r="M97" t="s">
        <v>42</v>
      </c>
    </row>
    <row r="98" spans="1:13" x14ac:dyDescent="0.3">
      <c r="B98" s="13" t="s">
        <v>16</v>
      </c>
      <c r="C98" s="14">
        <v>1503</v>
      </c>
    </row>
    <row r="99" spans="1:13" x14ac:dyDescent="0.3">
      <c r="B99" s="13" t="s">
        <v>8</v>
      </c>
      <c r="C99" s="14">
        <v>1233</v>
      </c>
    </row>
    <row r="100" spans="1:13" x14ac:dyDescent="0.3">
      <c r="B100" s="13" t="s">
        <v>20</v>
      </c>
      <c r="C100" s="14">
        <v>1615</v>
      </c>
    </row>
    <row r="101" spans="1:13" x14ac:dyDescent="0.3">
      <c r="B101" s="13" t="s">
        <v>13</v>
      </c>
      <c r="C101" s="14">
        <v>694</v>
      </c>
    </row>
    <row r="102" spans="1:13" x14ac:dyDescent="0.3">
      <c r="B102" s="13" t="s">
        <v>17</v>
      </c>
      <c r="C102" s="14">
        <v>1168</v>
      </c>
    </row>
    <row r="103" spans="1:13" x14ac:dyDescent="0.3">
      <c r="B103" s="13" t="s">
        <v>22</v>
      </c>
      <c r="C103" s="14">
        <v>1457</v>
      </c>
    </row>
    <row r="104" spans="1:13" x14ac:dyDescent="0.3">
      <c r="B104" s="13" t="s">
        <v>26</v>
      </c>
      <c r="C104" s="14">
        <v>7670</v>
      </c>
    </row>
    <row r="109" spans="1:13" x14ac:dyDescent="0.3">
      <c r="A109" s="12" t="s">
        <v>25</v>
      </c>
      <c r="B109" t="s">
        <v>41</v>
      </c>
    </row>
    <row r="110" spans="1:13" x14ac:dyDescent="0.3">
      <c r="A110" s="13" t="s">
        <v>19</v>
      </c>
      <c r="B110" s="15">
        <v>1687</v>
      </c>
    </row>
    <row r="111" spans="1:13" x14ac:dyDescent="0.3">
      <c r="A111" s="13" t="s">
        <v>12</v>
      </c>
      <c r="B111" s="15">
        <v>1534</v>
      </c>
    </row>
    <row r="112" spans="1:13" x14ac:dyDescent="0.3">
      <c r="A112" s="13" t="s">
        <v>10</v>
      </c>
      <c r="B112" s="15">
        <v>1407</v>
      </c>
    </row>
    <row r="113" spans="1:4" x14ac:dyDescent="0.3">
      <c r="A113" s="13" t="s">
        <v>26</v>
      </c>
      <c r="B113" s="15">
        <v>4628</v>
      </c>
    </row>
    <row r="117" spans="1:4" x14ac:dyDescent="0.3">
      <c r="C117" s="12" t="s">
        <v>25</v>
      </c>
      <c r="D117" t="s">
        <v>41</v>
      </c>
    </row>
    <row r="118" spans="1:4" x14ac:dyDescent="0.3">
      <c r="C118" s="13" t="s">
        <v>15</v>
      </c>
      <c r="D118" s="15">
        <v>810</v>
      </c>
    </row>
    <row r="119" spans="1:4" x14ac:dyDescent="0.3">
      <c r="C119" s="13" t="s">
        <v>23</v>
      </c>
      <c r="D119" s="15">
        <v>1285</v>
      </c>
    </row>
    <row r="120" spans="1:4" x14ac:dyDescent="0.3">
      <c r="C120" s="13" t="s">
        <v>7</v>
      </c>
      <c r="D120" s="15">
        <v>947</v>
      </c>
    </row>
    <row r="121" spans="1:4" x14ac:dyDescent="0.3">
      <c r="C121" s="13" t="s">
        <v>26</v>
      </c>
      <c r="D121" s="15">
        <v>3042</v>
      </c>
    </row>
    <row r="131" spans="3:4" x14ac:dyDescent="0.3">
      <c r="C131" s="12" t="s">
        <v>25</v>
      </c>
      <c r="D131" t="s">
        <v>41</v>
      </c>
    </row>
    <row r="132" spans="3:4" x14ac:dyDescent="0.3">
      <c r="C132" s="13" t="s">
        <v>15</v>
      </c>
      <c r="D132" s="15">
        <v>810</v>
      </c>
    </row>
    <row r="133" spans="3:4" x14ac:dyDescent="0.3">
      <c r="C133" s="13" t="s">
        <v>23</v>
      </c>
      <c r="D133" s="15">
        <v>1285</v>
      </c>
    </row>
    <row r="134" spans="3:4" x14ac:dyDescent="0.3">
      <c r="C134" s="13" t="s">
        <v>7</v>
      </c>
      <c r="D134" s="15">
        <v>947</v>
      </c>
    </row>
    <row r="135" spans="3:4" x14ac:dyDescent="0.3">
      <c r="C135" s="13" t="s">
        <v>26</v>
      </c>
      <c r="D135" s="15">
        <v>3042</v>
      </c>
    </row>
    <row r="158" spans="3:4" x14ac:dyDescent="0.3">
      <c r="C158" s="12" t="s">
        <v>25</v>
      </c>
      <c r="D158" t="s">
        <v>41</v>
      </c>
    </row>
    <row r="159" spans="3:4" x14ac:dyDescent="0.3">
      <c r="C159" s="13" t="s">
        <v>19</v>
      </c>
      <c r="D159" s="15">
        <v>1687</v>
      </c>
    </row>
    <row r="160" spans="3:4" x14ac:dyDescent="0.3">
      <c r="C160" s="13" t="s">
        <v>12</v>
      </c>
      <c r="D160" s="15">
        <v>1534</v>
      </c>
    </row>
    <row r="161" spans="3:4" x14ac:dyDescent="0.3">
      <c r="C161" s="13" t="s">
        <v>10</v>
      </c>
      <c r="D161" s="15">
        <v>1407</v>
      </c>
    </row>
    <row r="162" spans="3:4" x14ac:dyDescent="0.3">
      <c r="C162" s="13" t="s">
        <v>15</v>
      </c>
      <c r="D162" s="15">
        <v>810</v>
      </c>
    </row>
    <row r="163" spans="3:4" x14ac:dyDescent="0.3">
      <c r="C163" s="13" t="s">
        <v>23</v>
      </c>
      <c r="D163" s="15">
        <v>1285</v>
      </c>
    </row>
    <row r="164" spans="3:4" x14ac:dyDescent="0.3">
      <c r="C164" s="13" t="s">
        <v>7</v>
      </c>
      <c r="D164" s="15">
        <v>947</v>
      </c>
    </row>
    <row r="165" spans="3:4" x14ac:dyDescent="0.3">
      <c r="C165" s="13" t="s">
        <v>26</v>
      </c>
      <c r="D165" s="15">
        <v>7670</v>
      </c>
    </row>
    <row r="170" spans="3:4" x14ac:dyDescent="0.3">
      <c r="C170" s="12" t="s">
        <v>25</v>
      </c>
      <c r="D170" t="s">
        <v>41</v>
      </c>
    </row>
    <row r="171" spans="3:4" x14ac:dyDescent="0.3">
      <c r="C171" s="13" t="s">
        <v>19</v>
      </c>
      <c r="D171" s="15">
        <v>1687</v>
      </c>
    </row>
    <row r="172" spans="3:4" x14ac:dyDescent="0.3">
      <c r="C172" s="13" t="s">
        <v>12</v>
      </c>
      <c r="D172" s="15">
        <v>1534</v>
      </c>
    </row>
    <row r="173" spans="3:4" x14ac:dyDescent="0.3">
      <c r="C173" s="13" t="s">
        <v>10</v>
      </c>
      <c r="D173" s="15">
        <v>1407</v>
      </c>
    </row>
    <row r="174" spans="3:4" x14ac:dyDescent="0.3">
      <c r="C174" s="13" t="s">
        <v>26</v>
      </c>
      <c r="D174" s="15">
        <v>4628</v>
      </c>
    </row>
  </sheetData>
  <pageMargins left="0.7" right="0.7" top="0.75" bottom="0.75" header="0.3" footer="0.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DashBoard</vt:lpstr>
      <vt:lpstr>products</vt:lpstr>
      <vt:lpstr>Salesmans</vt:lpstr>
      <vt:lpstr>About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athota hanok</cp:lastModifiedBy>
  <dcterms:created xsi:type="dcterms:W3CDTF">2025-01-28T12:35:12Z</dcterms:created>
  <dcterms:modified xsi:type="dcterms:W3CDTF">2026-01-11T21:04:49Z</dcterms:modified>
</cp:coreProperties>
</file>